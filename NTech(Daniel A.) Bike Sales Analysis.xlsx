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AB98C94E-A740-4035-A06C-4FFEADC207EF}" xr6:coauthVersionLast="47" xr6:coauthVersionMax="47" xr10:uidLastSave="{00000000-0000-0000-0000-000000000000}"/>
  <bookViews>
    <workbookView xWindow="-98" yWindow="-98" windowWidth="19396" windowHeight="10395" activeTab="1" xr2:uid="{1B10A66F-781F-482B-A0D3-D090480CA80A}"/>
  </bookViews>
  <sheets>
    <sheet name="Pivot Tables" sheetId="2" r:id="rId1"/>
    <sheet name="Charts" sheetId="3" r:id="rId2"/>
    <sheet name="Sheet1" sheetId="1" r:id="rId3"/>
    <sheet name="Objectives" sheetId="4" r:id="rId4"/>
    <sheet name="Pivot Table and charts" sheetId="7" r:id="rId5"/>
    <sheet name="Dashboard" sheetId="8" r:id="rId6"/>
    <sheet name="Obj new" sheetId="5" r:id="rId7"/>
  </sheets>
  <definedNames>
    <definedName name="Slicer_Country">#N/A</definedName>
    <definedName name="Slicer_Custom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K87" i="1"/>
</calcChain>
</file>

<file path=xl/sharedStrings.xml><?xml version="1.0" encoding="utf-8"?>
<sst xmlns="http://schemas.openxmlformats.org/spreadsheetml/2006/main" count="740" uniqueCount="100">
  <si>
    <t>Sales_Order #</t>
  </si>
  <si>
    <t>Date</t>
  </si>
  <si>
    <t>Customer_Age</t>
  </si>
  <si>
    <t>Customer_Gender</t>
  </si>
  <si>
    <t>Age Group</t>
  </si>
  <si>
    <t>Country</t>
  </si>
  <si>
    <t>State</t>
  </si>
  <si>
    <t>Product_Category</t>
  </si>
  <si>
    <t>Sub_Category</t>
  </si>
  <si>
    <t>Product_Description</t>
  </si>
  <si>
    <t>Order_Quantity</t>
  </si>
  <si>
    <t xml:space="preserve"> Unit_Cost </t>
  </si>
  <si>
    <t xml:space="preserve"> Unit_Price </t>
  </si>
  <si>
    <t xml:space="preserve"> Profit </t>
  </si>
  <si>
    <t xml:space="preserve"> Cost </t>
  </si>
  <si>
    <t>Revenue</t>
  </si>
  <si>
    <t>Female</t>
  </si>
  <si>
    <t>Adults(35-64)</t>
  </si>
  <si>
    <t>United States</t>
  </si>
  <si>
    <t>California</t>
  </si>
  <si>
    <t>Bikes</t>
  </si>
  <si>
    <t>Mountain Bikes</t>
  </si>
  <si>
    <t>Mountain-200 Black, 46</t>
  </si>
  <si>
    <t>Male</t>
  </si>
  <si>
    <t>United Kingdom</t>
  </si>
  <si>
    <t>England</t>
  </si>
  <si>
    <t>Mountain-200 Silver, 42</t>
  </si>
  <si>
    <t>Mountain-400-W Silver, 46</t>
  </si>
  <si>
    <t>Young Adults(25-34)</t>
  </si>
  <si>
    <t>Australia</t>
  </si>
  <si>
    <t>New South Wales</t>
  </si>
  <si>
    <t>Mountain-400-W Silver, 42</t>
  </si>
  <si>
    <t>Young(&lt;25)</t>
  </si>
  <si>
    <t>Mountain-200 Black, 38</t>
  </si>
  <si>
    <t>Washington</t>
  </si>
  <si>
    <t>Queensland</t>
  </si>
  <si>
    <t>Mountain-200 Silver, 38</t>
  </si>
  <si>
    <t>Canada</t>
  </si>
  <si>
    <t>British Columbia</t>
  </si>
  <si>
    <t>Mountain-400-W Silver, 38</t>
  </si>
  <si>
    <t>Mountain-500 Silver, 42</t>
  </si>
  <si>
    <t>Victoria</t>
  </si>
  <si>
    <t>Mountain-100 Black, 38</t>
  </si>
  <si>
    <t>Germany</t>
  </si>
  <si>
    <t>Hamburg</t>
  </si>
  <si>
    <t>Mountain-200 Black, 42</t>
  </si>
  <si>
    <t>Mountain-500 Black, 40</t>
  </si>
  <si>
    <t>Mountain-100 Silver, 44</t>
  </si>
  <si>
    <t>France</t>
  </si>
  <si>
    <t>Seine (Paris)</t>
  </si>
  <si>
    <t>Mountain-500 Silver, 40</t>
  </si>
  <si>
    <t>Seine et Marne</t>
  </si>
  <si>
    <t>Mountain-200 Silver, 46</t>
  </si>
  <si>
    <t>Nordrhein-Westfalen</t>
  </si>
  <si>
    <t>Seine Saint Denis</t>
  </si>
  <si>
    <t>Nord</t>
  </si>
  <si>
    <t>Mountain-500 Black, 44</t>
  </si>
  <si>
    <t>Oregon</t>
  </si>
  <si>
    <t>Mountain-100 Black, 48</t>
  </si>
  <si>
    <t>South Australia</t>
  </si>
  <si>
    <t>Hessen</t>
  </si>
  <si>
    <t>Mountain-500 Black, 52</t>
  </si>
  <si>
    <t>Somme</t>
  </si>
  <si>
    <t>Mountain-500 Black, 42</t>
  </si>
  <si>
    <t>Row Labels</t>
  </si>
  <si>
    <t>Grand Total</t>
  </si>
  <si>
    <t>Sum of Order_Quantity</t>
  </si>
  <si>
    <t>Sum of Revenue</t>
  </si>
  <si>
    <t xml:space="preserve">Sum of  Profit </t>
  </si>
  <si>
    <t xml:space="preserve">Sum of  Cost </t>
  </si>
  <si>
    <t>Count of Sales_Order #</t>
  </si>
  <si>
    <t>Which state/region has the highest number of orders?</t>
  </si>
  <si>
    <t>Which sub-category is the most profitable?</t>
  </si>
  <si>
    <t>trends in sales based on the date column i.e date vs revenue</t>
  </si>
  <si>
    <t>what is the total revenue, cost and profit</t>
  </si>
  <si>
    <t>Which product category generates the highest revenue</t>
  </si>
  <si>
    <t>Which country contributes the most to total sales revenue(country by sales)</t>
  </si>
  <si>
    <t>Which age group contributes the highest revenue?(age group by revenue)</t>
  </si>
  <si>
    <t>the average order quantity per age group(age group by order quantity)</t>
  </si>
  <si>
    <t>best-selling products based on order quantity?(product by order quantity)</t>
  </si>
  <si>
    <t>How does revenue vary across countries(country by revenue)</t>
  </si>
  <si>
    <t>What is the total revenue from each gender</t>
  </si>
  <si>
    <t>Total Profit</t>
  </si>
  <si>
    <t>Total Quantity ordered</t>
  </si>
  <si>
    <t>Total Revenje</t>
  </si>
  <si>
    <t>Top performance by state</t>
  </si>
  <si>
    <t>Top performance by country</t>
  </si>
  <si>
    <t>Profit Marjin</t>
  </si>
  <si>
    <t>Revenue by gender</t>
  </si>
  <si>
    <t>Revenue by age group</t>
  </si>
  <si>
    <t>Profit by sales</t>
  </si>
  <si>
    <t>Total Sales by country</t>
  </si>
  <si>
    <t>Total Quantity Ordered</t>
  </si>
  <si>
    <t>Average of Customer_Age</t>
  </si>
  <si>
    <t>Total Sales</t>
  </si>
  <si>
    <t>Total Revenue</t>
  </si>
  <si>
    <t>Profit Margin</t>
  </si>
  <si>
    <t>Profit Margin2</t>
  </si>
  <si>
    <t xml:space="preserve"> </t>
  </si>
  <si>
    <t>Top Sales Performance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</si>
</sst>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
    <numFmt numFmtId="165" formatCode="&quot;₦&quot;#,##0"/>
    <numFmt numFmtId="166" formatCode="0.000000"/>
    <numFmt numFmtId="167" formatCode="[$$-409]#,##0.00"/>
    <numFmt numFmtId="168" formatCode="[$$-409]#,##0"/>
  </numFmts>
  <fonts count="2" x14ac:knownFonts="1">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249977111117893"/>
        <bgColor indexed="64"/>
      </patternFill>
    </fill>
    <fill>
      <patternFill patternType="solid">
        <fgColor theme="6" tint="-0.249977111117893"/>
        <bgColor indexed="64"/>
      </patternFill>
    </fill>
  </fills>
  <borders count="2">
    <border>
      <left/>
      <right/>
      <top/>
      <bottom/>
      <diagonal/>
    </border>
    <border>
      <left/>
      <right/>
      <top style="thin">
        <color theme="9" tint="0.39997558519241921"/>
      </top>
      <bottom/>
      <diagonal/>
    </border>
  </borders>
  <cellStyleXfs count="1">
    <xf numFmtId="0" fontId="0" fillId="0" borderId="0"/>
  </cellStyleXfs>
  <cellXfs count="28">
    <xf numFmtId="0" fontId="0" fillId="0" borderId="0" xfId="0"/>
    <xf numFmtId="14" fontId="0" fillId="3" borderId="1" xfId="0" applyNumberFormat="1" applyFill="1" applyBorder="1"/>
    <xf numFmtId="0" fontId="0" fillId="3" borderId="1" xfId="0" applyFill="1" applyBorder="1"/>
    <xf numFmtId="164" fontId="0" fillId="3" borderId="1" xfId="0" applyNumberFormat="1" applyFill="1" applyBorder="1"/>
    <xf numFmtId="14" fontId="0" fillId="0" borderId="1" xfId="0" applyNumberFormat="1" applyBorder="1"/>
    <xf numFmtId="0" fontId="0" fillId="0" borderId="1" xfId="0" applyBorder="1"/>
    <xf numFmtId="164" fontId="0" fillId="0" borderId="1" xfId="0" applyNumberFormat="1" applyBorder="1"/>
    <xf numFmtId="0" fontId="1" fillId="2" borderId="0" xfId="0" applyFont="1" applyFill="1" applyBorder="1"/>
    <xf numFmtId="14" fontId="1" fillId="2" borderId="0" xfId="0" applyNumberFormat="1" applyFont="1" applyFill="1" applyBorder="1"/>
    <xf numFmtId="164" fontId="1" fillId="2" borderId="0" xfId="0" applyNumberFormat="1" applyFont="1" applyFill="1" applyBorder="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2" fontId="0" fillId="0" borderId="0" xfId="0" applyNumberFormat="1"/>
    <xf numFmtId="165" fontId="0" fillId="0" borderId="0" xfId="0" applyNumberFormat="1"/>
    <xf numFmtId="164" fontId="0" fillId="3" borderId="0" xfId="0" applyNumberFormat="1" applyFill="1" applyBorder="1"/>
    <xf numFmtId="166" fontId="1" fillId="2" borderId="0" xfId="0" applyNumberFormat="1" applyFont="1" applyFill="1"/>
    <xf numFmtId="166" fontId="0" fillId="3" borderId="0" xfId="0" applyNumberFormat="1" applyFill="1" applyBorder="1"/>
    <xf numFmtId="166" fontId="0" fillId="0" borderId="0" xfId="0" applyNumberFormat="1"/>
    <xf numFmtId="9" fontId="1" fillId="2" borderId="0" xfId="0" applyNumberFormat="1" applyFont="1" applyFill="1"/>
    <xf numFmtId="9" fontId="0" fillId="3" borderId="0" xfId="0" applyNumberFormat="1" applyFill="1" applyBorder="1"/>
    <xf numFmtId="9" fontId="0" fillId="0" borderId="0" xfId="0" applyNumberFormat="1"/>
    <xf numFmtId="1" fontId="0" fillId="0" borderId="0" xfId="0" applyNumberFormat="1"/>
    <xf numFmtId="0" fontId="0" fillId="4" borderId="0" xfId="0" applyFill="1"/>
    <xf numFmtId="167" fontId="0" fillId="0" borderId="0" xfId="0" applyNumberFormat="1"/>
    <xf numFmtId="168" fontId="0" fillId="0" borderId="0" xfId="0" applyNumberFormat="1"/>
    <xf numFmtId="0" fontId="0" fillId="5" borderId="0" xfId="0" applyFill="1"/>
  </cellXfs>
  <cellStyles count="1">
    <cellStyle name="Normal" xfId="0" builtinId="0"/>
  </cellStyles>
  <dxfs count="21">
    <dxf>
      <numFmt numFmtId="13"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164" formatCode="&quot;$&quot;#,##0.00"/>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164" formatCode="&quot;$&quot;#,##0.00"/>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164" formatCode="&quot;$&quot;#,##0.00"/>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164" formatCode="&quot;$&quot;#,##0.00"/>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164" formatCode="&quot;$&quot;#,##0.00"/>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164" formatCode="&quot;$&quot;#,##0.00"/>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numFmt numFmtId="19" formatCode="dd/mm/yyyy"/>
      <fill>
        <patternFill patternType="solid">
          <fgColor theme="9" tint="0.79998168889431442"/>
          <bgColor theme="9" tint="0.79998168889431442"/>
        </patternFill>
      </fill>
      <border diagonalUp="0" diagonalDown="0">
        <left/>
        <right/>
        <top style="thin">
          <color theme="9" tint="0.39997558519241921"/>
        </top>
        <bottom/>
        <vertical/>
        <horizontal/>
      </border>
    </dxf>
    <dxf>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top style="thin">
          <color theme="9" tint="0.39997558519241921"/>
        </top>
        <bottom style="thin">
          <color theme="9" tint="0.39997558519241921"/>
        </bottom>
      </border>
    </dxf>
    <dxf>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numFmt numFmtId="164" formatCode="&quot;$&quot;#,##0.00"/>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Tables!PivotTable2</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Quantity ordered per region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Tables'!$A$14:$A$20</c:f>
              <c:strCache>
                <c:ptCount val="6"/>
                <c:pt idx="0">
                  <c:v>Victoria</c:v>
                </c:pt>
                <c:pt idx="1">
                  <c:v>Washington</c:v>
                </c:pt>
                <c:pt idx="2">
                  <c:v>England</c:v>
                </c:pt>
                <c:pt idx="3">
                  <c:v>Queensland</c:v>
                </c:pt>
                <c:pt idx="4">
                  <c:v>New South Wales</c:v>
                </c:pt>
                <c:pt idx="5">
                  <c:v>California</c:v>
                </c:pt>
              </c:strCache>
            </c:strRef>
          </c:cat>
          <c:val>
            <c:numRef>
              <c:f>'Pivot Tables'!$B$14:$B$20</c:f>
              <c:numCache>
                <c:formatCode>General</c:formatCode>
                <c:ptCount val="6"/>
                <c:pt idx="0">
                  <c:v>13</c:v>
                </c:pt>
                <c:pt idx="1">
                  <c:v>13</c:v>
                </c:pt>
                <c:pt idx="2">
                  <c:v>14</c:v>
                </c:pt>
                <c:pt idx="3">
                  <c:v>17</c:v>
                </c:pt>
                <c:pt idx="4">
                  <c:v>30</c:v>
                </c:pt>
                <c:pt idx="5">
                  <c:v>42</c:v>
                </c:pt>
              </c:numCache>
            </c:numRef>
          </c:val>
          <c:extLst>
            <c:ext xmlns:c16="http://schemas.microsoft.com/office/drawing/2014/chart" uri="{C3380CC4-5D6E-409C-BE32-E72D297353CC}">
              <c16:uniqueId val="{00000000-0E1E-4606-96A8-C9160831DA5F}"/>
            </c:ext>
          </c:extLst>
        </c:ser>
        <c:dLbls>
          <c:dLblPos val="inEnd"/>
          <c:showLegendKey val="0"/>
          <c:showVal val="1"/>
          <c:showCatName val="0"/>
          <c:showSerName val="0"/>
          <c:showPercent val="0"/>
          <c:showBubbleSize val="0"/>
        </c:dLbls>
        <c:gapWidth val="219"/>
        <c:overlap val="100"/>
        <c:axId val="435379727"/>
        <c:axId val="435383055"/>
      </c:barChart>
      <c:catAx>
        <c:axId val="43537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crossAx val="435383055"/>
        <c:crosses val="autoZero"/>
        <c:auto val="1"/>
        <c:lblAlgn val="ctr"/>
        <c:lblOffset val="100"/>
        <c:noMultiLvlLbl val="0"/>
      </c:catAx>
      <c:valAx>
        <c:axId val="435383055"/>
        <c:scaling>
          <c:orientation val="minMax"/>
        </c:scaling>
        <c:delete val="1"/>
        <c:axPos val="b"/>
        <c:numFmt formatCode="General" sourceLinked="1"/>
        <c:majorTickMark val="none"/>
        <c:minorTickMark val="none"/>
        <c:tickLblPos val="nextTo"/>
        <c:crossAx val="43537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Tables!PivotTable1</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Revenue per country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United Kingdom</c:v>
                </c:pt>
                <c:pt idx="1">
                  <c:v>Canada</c:v>
                </c:pt>
                <c:pt idx="2">
                  <c:v>Germany</c:v>
                </c:pt>
                <c:pt idx="3">
                  <c:v>France</c:v>
                </c:pt>
                <c:pt idx="4">
                  <c:v>Australia</c:v>
                </c:pt>
                <c:pt idx="5">
                  <c:v>United States</c:v>
                </c:pt>
              </c:strCache>
            </c:strRef>
          </c:cat>
          <c:val>
            <c:numRef>
              <c:f>'Pivot Tables'!$B$4:$B$10</c:f>
              <c:numCache>
                <c:formatCode>[$$-409]#,##0</c:formatCode>
                <c:ptCount val="6"/>
                <c:pt idx="0">
                  <c:v>19972</c:v>
                </c:pt>
                <c:pt idx="1">
                  <c:v>20080</c:v>
                </c:pt>
                <c:pt idx="2">
                  <c:v>20830</c:v>
                </c:pt>
                <c:pt idx="3">
                  <c:v>46175</c:v>
                </c:pt>
                <c:pt idx="4">
                  <c:v>106135</c:v>
                </c:pt>
                <c:pt idx="5">
                  <c:v>130654</c:v>
                </c:pt>
              </c:numCache>
            </c:numRef>
          </c:val>
          <c:extLst>
            <c:ext xmlns:c16="http://schemas.microsoft.com/office/drawing/2014/chart" uri="{C3380CC4-5D6E-409C-BE32-E72D297353CC}">
              <c16:uniqueId val="{00000000-784D-41F4-9070-688BEEC37185}"/>
            </c:ext>
          </c:extLst>
        </c:ser>
        <c:dLbls>
          <c:dLblPos val="outEnd"/>
          <c:showLegendKey val="0"/>
          <c:showVal val="1"/>
          <c:showCatName val="0"/>
          <c:showSerName val="0"/>
          <c:showPercent val="0"/>
          <c:showBubbleSize val="0"/>
        </c:dLbls>
        <c:gapWidth val="182"/>
        <c:axId val="342862255"/>
        <c:axId val="435382223"/>
      </c:barChart>
      <c:catAx>
        <c:axId val="34286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crossAx val="435382223"/>
        <c:crosses val="autoZero"/>
        <c:auto val="1"/>
        <c:lblAlgn val="ctr"/>
        <c:lblOffset val="100"/>
        <c:noMultiLvlLbl val="0"/>
      </c:catAx>
      <c:valAx>
        <c:axId val="435382223"/>
        <c:scaling>
          <c:orientation val="minMax"/>
        </c:scaling>
        <c:delete val="1"/>
        <c:axPos val="b"/>
        <c:numFmt formatCode="[$$-409]#,##0" sourceLinked="1"/>
        <c:majorTickMark val="none"/>
        <c:minorTickMark val="none"/>
        <c:tickLblPos val="nextTo"/>
        <c:crossAx val="34286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Tables!PivotTable5</c:name>
    <c:fmtId val="1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Revenue Trend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Tables'!$E$9</c:f>
              <c:strCache>
                <c:ptCount val="1"/>
                <c:pt idx="0">
                  <c:v>Total</c:v>
                </c:pt>
              </c:strCache>
            </c:strRef>
          </c:tx>
          <c:spPr>
            <a:ln w="28575" cap="rnd">
              <a:solidFill>
                <a:schemeClr val="accent1"/>
              </a:solidFill>
              <a:round/>
            </a:ln>
            <a:effectLst/>
          </c:spPr>
          <c:marker>
            <c:symbol val="none"/>
          </c:marker>
          <c:cat>
            <c:strRef>
              <c:f>'Pivot Tables'!$D$10:$D$34</c:f>
              <c:strCache>
                <c:ptCount val="24"/>
                <c:pt idx="0">
                  <c:v>01/12/2021</c:v>
                </c:pt>
                <c:pt idx="1">
                  <c:v>02/12/2021</c:v>
                </c:pt>
                <c:pt idx="2">
                  <c:v>03/12/2021</c:v>
                </c:pt>
                <c:pt idx="3">
                  <c:v>04/12/2021</c:v>
                </c:pt>
                <c:pt idx="4">
                  <c:v>05/12/2021</c:v>
                </c:pt>
                <c:pt idx="5">
                  <c:v>06/12/2021</c:v>
                </c:pt>
                <c:pt idx="6">
                  <c:v>07/12/2021</c:v>
                </c:pt>
                <c:pt idx="7">
                  <c:v>08/12/2021</c:v>
                </c:pt>
                <c:pt idx="8">
                  <c:v>09/12/2021</c:v>
                </c:pt>
                <c:pt idx="9">
                  <c:v>10/12/2021</c:v>
                </c:pt>
                <c:pt idx="10">
                  <c:v>11/12/2021</c:v>
                </c:pt>
                <c:pt idx="11">
                  <c:v>12/12/2021</c:v>
                </c:pt>
                <c:pt idx="12">
                  <c:v>13/12/2021</c:v>
                </c:pt>
                <c:pt idx="13">
                  <c:v>14/12/2021</c:v>
                </c:pt>
                <c:pt idx="14">
                  <c:v>15/12/2021</c:v>
                </c:pt>
                <c:pt idx="15">
                  <c:v>16/12/2021</c:v>
                </c:pt>
                <c:pt idx="16">
                  <c:v>17/12/2021</c:v>
                </c:pt>
                <c:pt idx="17">
                  <c:v>18/12/2021</c:v>
                </c:pt>
                <c:pt idx="18">
                  <c:v>19/12/2021</c:v>
                </c:pt>
                <c:pt idx="19">
                  <c:v>20/12/2021</c:v>
                </c:pt>
                <c:pt idx="20">
                  <c:v>21/12/2021</c:v>
                </c:pt>
                <c:pt idx="21">
                  <c:v>22/12/2021</c:v>
                </c:pt>
                <c:pt idx="22">
                  <c:v>23/12/2021</c:v>
                </c:pt>
                <c:pt idx="23">
                  <c:v>24/12/2021</c:v>
                </c:pt>
              </c:strCache>
            </c:strRef>
          </c:cat>
          <c:val>
            <c:numRef>
              <c:f>'Pivot Tables'!$E$10:$E$34</c:f>
              <c:numCache>
                <c:formatCode>General</c:formatCode>
                <c:ptCount val="24"/>
                <c:pt idx="0">
                  <c:v>11500</c:v>
                </c:pt>
                <c:pt idx="1">
                  <c:v>2307</c:v>
                </c:pt>
                <c:pt idx="2">
                  <c:v>11475</c:v>
                </c:pt>
                <c:pt idx="3">
                  <c:v>0</c:v>
                </c:pt>
                <c:pt idx="4">
                  <c:v>13795</c:v>
                </c:pt>
                <c:pt idx="5">
                  <c:v>6922</c:v>
                </c:pt>
                <c:pt idx="6">
                  <c:v>7716</c:v>
                </c:pt>
                <c:pt idx="7">
                  <c:v>11540</c:v>
                </c:pt>
                <c:pt idx="8">
                  <c:v>9070</c:v>
                </c:pt>
                <c:pt idx="9">
                  <c:v>17710</c:v>
                </c:pt>
                <c:pt idx="10">
                  <c:v>13807</c:v>
                </c:pt>
                <c:pt idx="11">
                  <c:v>21586</c:v>
                </c:pt>
                <c:pt idx="12">
                  <c:v>12115</c:v>
                </c:pt>
                <c:pt idx="13">
                  <c:v>7704</c:v>
                </c:pt>
                <c:pt idx="14">
                  <c:v>2320</c:v>
                </c:pt>
                <c:pt idx="15">
                  <c:v>11500</c:v>
                </c:pt>
                <c:pt idx="16">
                  <c:v>7729</c:v>
                </c:pt>
                <c:pt idx="17">
                  <c:v>32307</c:v>
                </c:pt>
                <c:pt idx="18">
                  <c:v>69650</c:v>
                </c:pt>
                <c:pt idx="19">
                  <c:v>28940</c:v>
                </c:pt>
                <c:pt idx="20">
                  <c:v>8498</c:v>
                </c:pt>
                <c:pt idx="21">
                  <c:v>21320</c:v>
                </c:pt>
                <c:pt idx="22">
                  <c:v>5155</c:v>
                </c:pt>
                <c:pt idx="23">
                  <c:v>9180</c:v>
                </c:pt>
              </c:numCache>
            </c:numRef>
          </c:val>
          <c:smooth val="0"/>
          <c:extLst>
            <c:ext xmlns:c16="http://schemas.microsoft.com/office/drawing/2014/chart" uri="{C3380CC4-5D6E-409C-BE32-E72D297353CC}">
              <c16:uniqueId val="{00000000-A3C1-4EDE-84C8-69B598CDD458}"/>
            </c:ext>
          </c:extLst>
        </c:ser>
        <c:dLbls>
          <c:showLegendKey val="0"/>
          <c:showVal val="0"/>
          <c:showCatName val="0"/>
          <c:showSerName val="0"/>
          <c:showPercent val="0"/>
          <c:showBubbleSize val="0"/>
        </c:dLbls>
        <c:smooth val="0"/>
        <c:axId val="1493979328"/>
        <c:axId val="1493974336"/>
      </c:lineChart>
      <c:catAx>
        <c:axId val="149397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crossAx val="1493974336"/>
        <c:crosses val="autoZero"/>
        <c:auto val="1"/>
        <c:lblAlgn val="ctr"/>
        <c:lblOffset val="100"/>
        <c:noMultiLvlLbl val="0"/>
      </c:catAx>
      <c:valAx>
        <c:axId val="1493974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crossAx val="149397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Tables!PivotTable11</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Sales by County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Tables'!$G$13:$G$19</c:f>
              <c:strCache>
                <c:ptCount val="6"/>
                <c:pt idx="0">
                  <c:v>United States</c:v>
                </c:pt>
                <c:pt idx="1">
                  <c:v>Australia</c:v>
                </c:pt>
                <c:pt idx="2">
                  <c:v>United Kingdom</c:v>
                </c:pt>
                <c:pt idx="3">
                  <c:v>France</c:v>
                </c:pt>
                <c:pt idx="4">
                  <c:v>Canada</c:v>
                </c:pt>
                <c:pt idx="5">
                  <c:v>Germany</c:v>
                </c:pt>
              </c:strCache>
            </c:strRef>
          </c:cat>
          <c:val>
            <c:numRef>
              <c:f>'Pivot Tables'!$H$13:$H$19</c:f>
              <c:numCache>
                <c:formatCode>General</c:formatCode>
                <c:ptCount val="6"/>
                <c:pt idx="0">
                  <c:v>31</c:v>
                </c:pt>
                <c:pt idx="1">
                  <c:v>26</c:v>
                </c:pt>
                <c:pt idx="2">
                  <c:v>9</c:v>
                </c:pt>
                <c:pt idx="3">
                  <c:v>8</c:v>
                </c:pt>
                <c:pt idx="4">
                  <c:v>6</c:v>
                </c:pt>
                <c:pt idx="5">
                  <c:v>5</c:v>
                </c:pt>
              </c:numCache>
            </c:numRef>
          </c:val>
          <c:extLst>
            <c:ext xmlns:c16="http://schemas.microsoft.com/office/drawing/2014/chart" uri="{C3380CC4-5D6E-409C-BE32-E72D297353CC}">
              <c16:uniqueId val="{00000000-7CAE-48A8-9B0E-44E94BE868D2}"/>
            </c:ext>
          </c:extLst>
        </c:ser>
        <c:dLbls>
          <c:dLblPos val="inEnd"/>
          <c:showLegendKey val="0"/>
          <c:showVal val="1"/>
          <c:showCatName val="0"/>
          <c:showSerName val="0"/>
          <c:showPercent val="0"/>
          <c:showBubbleSize val="0"/>
        </c:dLbls>
        <c:gapWidth val="150"/>
        <c:axId val="1503668672"/>
        <c:axId val="1503646624"/>
      </c:barChart>
      <c:catAx>
        <c:axId val="1503668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NG"/>
          </a:p>
        </c:txPr>
        <c:crossAx val="1503646624"/>
        <c:crosses val="autoZero"/>
        <c:auto val="1"/>
        <c:lblAlgn val="ctr"/>
        <c:lblOffset val="100"/>
        <c:noMultiLvlLbl val="0"/>
      </c:catAx>
      <c:valAx>
        <c:axId val="1503646624"/>
        <c:scaling>
          <c:orientation val="minMax"/>
        </c:scaling>
        <c:delete val="1"/>
        <c:axPos val="l"/>
        <c:numFmt formatCode="General" sourceLinked="1"/>
        <c:majorTickMark val="out"/>
        <c:minorTickMark val="none"/>
        <c:tickLblPos val="nextTo"/>
        <c:crossAx val="150366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Tables!PivotTable12</c:name>
    <c:fmtId val="15"/>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200" b="1" i="0" u="none" strike="noStrike" kern="1200" baseline="0">
                <a:solidFill>
                  <a:schemeClr val="tx1"/>
                </a:solidFill>
                <a:latin typeface="+mn-lt"/>
                <a:ea typeface="+mn-ea"/>
                <a:cs typeface="+mn-cs"/>
              </a:rPr>
              <a:t>Revenue for each Age group</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alpha val="65000"/>
            </a:schemeClr>
          </a:solidFill>
          <a:ln w="19050">
            <a:solidFill>
              <a:schemeClr val="lt1"/>
            </a:solidFill>
          </a:ln>
          <a:effectLst/>
        </c:spPr>
      </c:pivotFmt>
      <c:pivotFmt>
        <c:idx val="8"/>
        <c:spPr>
          <a:solidFill>
            <a:schemeClr val="accent1">
              <a:alpha val="23000"/>
            </a:schemeClr>
          </a:solidFill>
          <a:ln w="19050">
            <a:solidFill>
              <a:schemeClr val="lt1"/>
            </a:solidFill>
          </a:ln>
          <a:effectLst/>
        </c:spPr>
      </c:pivotFmt>
    </c:pivotFmts>
    <c:plotArea>
      <c:layout/>
      <c:pieChart>
        <c:varyColors val="1"/>
        <c:ser>
          <c:idx val="0"/>
          <c:order val="0"/>
          <c:tx>
            <c:strRef>
              <c:f>'Pivot Tables'!$J$3</c:f>
              <c:strCache>
                <c:ptCount val="1"/>
                <c:pt idx="0">
                  <c:v>Total</c:v>
                </c:pt>
              </c:strCache>
            </c:strRef>
          </c:tx>
          <c:spPr>
            <a:solidFill>
              <a:schemeClr val="accent1"/>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E3-4678-A869-BF4D335C0DA0}"/>
              </c:ext>
            </c:extLst>
          </c:dPt>
          <c:dPt>
            <c:idx val="1"/>
            <c:bubble3D val="0"/>
            <c:spPr>
              <a:solidFill>
                <a:schemeClr val="accent1">
                  <a:alpha val="65000"/>
                </a:schemeClr>
              </a:solidFill>
              <a:ln w="19050">
                <a:solidFill>
                  <a:schemeClr val="lt1"/>
                </a:solidFill>
              </a:ln>
              <a:effectLst/>
            </c:spPr>
            <c:extLst>
              <c:ext xmlns:c16="http://schemas.microsoft.com/office/drawing/2014/chart" uri="{C3380CC4-5D6E-409C-BE32-E72D297353CC}">
                <c16:uniqueId val="{00000003-C8E3-4678-A869-BF4D335C0DA0}"/>
              </c:ext>
            </c:extLst>
          </c:dPt>
          <c:dPt>
            <c:idx val="2"/>
            <c:bubble3D val="0"/>
            <c:spPr>
              <a:solidFill>
                <a:schemeClr val="accent1">
                  <a:alpha val="23000"/>
                </a:schemeClr>
              </a:solidFill>
              <a:ln w="19050">
                <a:solidFill>
                  <a:schemeClr val="lt1"/>
                </a:solidFill>
              </a:ln>
              <a:effectLst/>
            </c:spPr>
            <c:extLst>
              <c:ext xmlns:c16="http://schemas.microsoft.com/office/drawing/2014/chart" uri="{C3380CC4-5D6E-409C-BE32-E72D297353CC}">
                <c16:uniqueId val="{00000005-C8E3-4678-A869-BF4D335C0DA0}"/>
              </c:ext>
            </c:extLst>
          </c:dPt>
          <c:cat>
            <c:strRef>
              <c:f>'Pivot Tables'!$I$4:$I$7</c:f>
              <c:strCache>
                <c:ptCount val="3"/>
                <c:pt idx="0">
                  <c:v>Adults(35-64)</c:v>
                </c:pt>
                <c:pt idx="1">
                  <c:v>Young Adults(25-34)</c:v>
                </c:pt>
                <c:pt idx="2">
                  <c:v>Young(&lt;25)</c:v>
                </c:pt>
              </c:strCache>
            </c:strRef>
          </c:cat>
          <c:val>
            <c:numRef>
              <c:f>'Pivot Tables'!$J$4:$J$7</c:f>
              <c:numCache>
                <c:formatCode>General</c:formatCode>
                <c:ptCount val="3"/>
                <c:pt idx="0">
                  <c:v>205066</c:v>
                </c:pt>
                <c:pt idx="1">
                  <c:v>103450</c:v>
                </c:pt>
                <c:pt idx="2">
                  <c:v>35330</c:v>
                </c:pt>
              </c:numCache>
            </c:numRef>
          </c:val>
          <c:extLst>
            <c:ext xmlns:c16="http://schemas.microsoft.com/office/drawing/2014/chart" uri="{C3380CC4-5D6E-409C-BE32-E72D297353CC}">
              <c16:uniqueId val="{00000006-C8E3-4678-A869-BF4D335C0DA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Tables!PivotTable13</c:name>
    <c:fmtId val="18"/>
  </c:pivotSource>
  <c:chart>
    <c:title>
      <c:tx>
        <c:rich>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r>
              <a:rPr lang="en-US" sz="1200" b="1" i="0" u="none" strike="noStrike" kern="1200" baseline="0">
                <a:solidFill>
                  <a:schemeClr val="tx1"/>
                </a:solidFill>
                <a:latin typeface="+mn-lt"/>
                <a:ea typeface="+mn-ea"/>
                <a:cs typeface="+mn-cs"/>
              </a:rPr>
              <a:t>Order quantity per age group</a:t>
            </a:r>
          </a:p>
        </c:rich>
      </c:tx>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alpha val="65000"/>
            </a:schemeClr>
          </a:solidFill>
          <a:ln w="19050">
            <a:solidFill>
              <a:schemeClr val="lt1"/>
            </a:solidFill>
          </a:ln>
          <a:effectLst/>
        </c:spPr>
      </c:pivotFmt>
      <c:pivotFmt>
        <c:idx val="8"/>
        <c:spPr>
          <a:solidFill>
            <a:schemeClr val="accent1">
              <a:alpha val="41000"/>
            </a:schemeClr>
          </a:solidFill>
          <a:ln w="19050">
            <a:solidFill>
              <a:schemeClr val="lt1"/>
            </a:solidFill>
          </a:ln>
          <a:effectLst/>
        </c:spPr>
      </c:pivotFmt>
    </c:pivotFmts>
    <c:plotArea>
      <c:layout/>
      <c:doughnutChart>
        <c:varyColors val="1"/>
        <c:ser>
          <c:idx val="0"/>
          <c:order val="0"/>
          <c:tx>
            <c:strRef>
              <c:f>'Pivot Tables'!$J$9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3B-4B4B-97B9-7CF1B6CEAE7F}"/>
              </c:ext>
            </c:extLst>
          </c:dPt>
          <c:dPt>
            <c:idx val="1"/>
            <c:bubble3D val="0"/>
            <c:spPr>
              <a:solidFill>
                <a:schemeClr val="accent1">
                  <a:alpha val="65000"/>
                </a:schemeClr>
              </a:solidFill>
              <a:ln w="19050">
                <a:solidFill>
                  <a:schemeClr val="lt1"/>
                </a:solidFill>
              </a:ln>
              <a:effectLst/>
            </c:spPr>
            <c:extLst>
              <c:ext xmlns:c16="http://schemas.microsoft.com/office/drawing/2014/chart" uri="{C3380CC4-5D6E-409C-BE32-E72D297353CC}">
                <c16:uniqueId val="{00000003-F93B-4B4B-97B9-7CF1B6CEAE7F}"/>
              </c:ext>
            </c:extLst>
          </c:dPt>
          <c:dPt>
            <c:idx val="2"/>
            <c:bubble3D val="0"/>
            <c:spPr>
              <a:solidFill>
                <a:schemeClr val="accent1">
                  <a:alpha val="41000"/>
                </a:schemeClr>
              </a:solidFill>
              <a:ln w="19050">
                <a:solidFill>
                  <a:schemeClr val="lt1"/>
                </a:solidFill>
              </a:ln>
              <a:effectLst/>
            </c:spPr>
            <c:extLst>
              <c:ext xmlns:c16="http://schemas.microsoft.com/office/drawing/2014/chart" uri="{C3380CC4-5D6E-409C-BE32-E72D297353CC}">
                <c16:uniqueId val="{00000005-F93B-4B4B-97B9-7CF1B6CEAE7F}"/>
              </c:ext>
            </c:extLst>
          </c:dPt>
          <c:cat>
            <c:strRef>
              <c:f>'Pivot Tables'!$I$10:$I$13</c:f>
              <c:strCache>
                <c:ptCount val="3"/>
                <c:pt idx="0">
                  <c:v>Adults(35-64)</c:v>
                </c:pt>
                <c:pt idx="1">
                  <c:v>Young Adults(25-34)</c:v>
                </c:pt>
                <c:pt idx="2">
                  <c:v>Young(&lt;25)</c:v>
                </c:pt>
              </c:strCache>
            </c:strRef>
          </c:cat>
          <c:val>
            <c:numRef>
              <c:f>'Pivot Tables'!$J$10:$J$13</c:f>
              <c:numCache>
                <c:formatCode>General</c:formatCode>
                <c:ptCount val="3"/>
                <c:pt idx="0">
                  <c:v>98</c:v>
                </c:pt>
                <c:pt idx="1">
                  <c:v>55</c:v>
                </c:pt>
                <c:pt idx="2">
                  <c:v>27</c:v>
                </c:pt>
              </c:numCache>
            </c:numRef>
          </c:val>
          <c:extLst>
            <c:ext xmlns:c16="http://schemas.microsoft.com/office/drawing/2014/chart" uri="{C3380CC4-5D6E-409C-BE32-E72D297353CC}">
              <c16:uniqueId val="{00000006-F93B-4B4B-97B9-7CF1B6CEAE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Tables!PivotTable16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Revenue</a:t>
            </a:r>
            <a:r>
              <a:rPr lang="en-US" sz="1200" b="1" baseline="0"/>
              <a:t> for each gender</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alpha val="37000"/>
            </a:schemeClr>
          </a:solidFill>
          <a:ln w="19050">
            <a:solidFill>
              <a:schemeClr val="lt1"/>
            </a:solidFill>
          </a:ln>
          <a:effectLst/>
        </c:spPr>
      </c:pivotFmt>
    </c:pivotFmts>
    <c:plotArea>
      <c:layout>
        <c:manualLayout>
          <c:layoutTarget val="inner"/>
          <c:xMode val="edge"/>
          <c:yMode val="edge"/>
          <c:x val="0.16987924232238139"/>
          <c:y val="0.25480309739255114"/>
          <c:w val="0.6966503875780089"/>
          <c:h val="0.63774390566626182"/>
        </c:manualLayout>
      </c:layout>
      <c:pieChart>
        <c:varyColors val="1"/>
        <c:ser>
          <c:idx val="0"/>
          <c:order val="0"/>
          <c:tx>
            <c:strRef>
              <c:f>'Pivot Tables'!$H$26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EA-483A-B7A1-EE443C0026A9}"/>
              </c:ext>
            </c:extLst>
          </c:dPt>
          <c:dPt>
            <c:idx val="1"/>
            <c:bubble3D val="0"/>
            <c:spPr>
              <a:solidFill>
                <a:schemeClr val="accent1">
                  <a:alpha val="37000"/>
                </a:schemeClr>
              </a:solidFill>
              <a:ln w="19050">
                <a:solidFill>
                  <a:schemeClr val="lt1"/>
                </a:solidFill>
              </a:ln>
              <a:effectLst/>
            </c:spPr>
            <c:extLst>
              <c:ext xmlns:c16="http://schemas.microsoft.com/office/drawing/2014/chart" uri="{C3380CC4-5D6E-409C-BE32-E72D297353CC}">
                <c16:uniqueId val="{00000003-0AEA-483A-B7A1-EE443C0026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Tables'!$G$27:$G$29</c:f>
              <c:strCache>
                <c:ptCount val="2"/>
                <c:pt idx="0">
                  <c:v>Female</c:v>
                </c:pt>
                <c:pt idx="1">
                  <c:v>Male</c:v>
                </c:pt>
              </c:strCache>
            </c:strRef>
          </c:cat>
          <c:val>
            <c:numRef>
              <c:f>'Pivot Tables'!$H$27:$H$29</c:f>
              <c:numCache>
                <c:formatCode>[$$-409]#,##0</c:formatCode>
                <c:ptCount val="2"/>
                <c:pt idx="0">
                  <c:v>207843</c:v>
                </c:pt>
                <c:pt idx="1">
                  <c:v>136003</c:v>
                </c:pt>
              </c:numCache>
            </c:numRef>
          </c:val>
          <c:extLst>
            <c:ext xmlns:c16="http://schemas.microsoft.com/office/drawing/2014/chart" uri="{C3380CC4-5D6E-409C-BE32-E72D297353CC}">
              <c16:uniqueId val="{00000004-0AEA-483A-B7A1-EE443C0026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 and 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SalesPerformance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charts'!$D$6</c:f>
              <c:strCache>
                <c:ptCount val="1"/>
                <c:pt idx="0">
                  <c:v>Total</c:v>
                </c:pt>
              </c:strCache>
            </c:strRef>
          </c:tx>
          <c:spPr>
            <a:solidFill>
              <a:schemeClr val="accent1"/>
            </a:solidFill>
            <a:ln>
              <a:noFill/>
            </a:ln>
            <a:effectLst/>
          </c:spPr>
          <c:invertIfNegative val="0"/>
          <c:cat>
            <c:strRef>
              <c:f>'Pivot Table and charts'!$C$7:$C$12</c:f>
              <c:strCache>
                <c:ptCount val="5"/>
                <c:pt idx="0">
                  <c:v>California</c:v>
                </c:pt>
                <c:pt idx="1">
                  <c:v>New South Wales</c:v>
                </c:pt>
                <c:pt idx="2">
                  <c:v>Washington</c:v>
                </c:pt>
                <c:pt idx="3">
                  <c:v>England</c:v>
                </c:pt>
                <c:pt idx="4">
                  <c:v>Queensland</c:v>
                </c:pt>
              </c:strCache>
            </c:strRef>
          </c:cat>
          <c:val>
            <c:numRef>
              <c:f>'Pivot Table and charts'!$D$7:$D$12</c:f>
              <c:numCache>
                <c:formatCode>General</c:formatCode>
                <c:ptCount val="5"/>
                <c:pt idx="0">
                  <c:v>4972839</c:v>
                </c:pt>
                <c:pt idx="1">
                  <c:v>3402503</c:v>
                </c:pt>
                <c:pt idx="2">
                  <c:v>2355637</c:v>
                </c:pt>
                <c:pt idx="3">
                  <c:v>2355532</c:v>
                </c:pt>
                <c:pt idx="4">
                  <c:v>1570520</c:v>
                </c:pt>
              </c:numCache>
            </c:numRef>
          </c:val>
          <c:extLst>
            <c:ext xmlns:c16="http://schemas.microsoft.com/office/drawing/2014/chart" uri="{C3380CC4-5D6E-409C-BE32-E72D297353CC}">
              <c16:uniqueId val="{00000000-0B3E-450C-90B4-E9E92FBC382D}"/>
            </c:ext>
          </c:extLst>
        </c:ser>
        <c:dLbls>
          <c:showLegendKey val="0"/>
          <c:showVal val="0"/>
          <c:showCatName val="0"/>
          <c:showSerName val="0"/>
          <c:showPercent val="0"/>
          <c:showBubbleSize val="0"/>
        </c:dLbls>
        <c:gapWidth val="219"/>
        <c:overlap val="-27"/>
        <c:axId val="213713008"/>
        <c:axId val="213696784"/>
      </c:barChart>
      <c:catAx>
        <c:axId val="21371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696784"/>
        <c:crosses val="autoZero"/>
        <c:auto val="1"/>
        <c:lblAlgn val="ctr"/>
        <c:lblOffset val="100"/>
        <c:noMultiLvlLbl val="0"/>
      </c:catAx>
      <c:valAx>
        <c:axId val="21369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71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 and 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 Performance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charts'!$G$7</c:f>
              <c:strCache>
                <c:ptCount val="1"/>
                <c:pt idx="0">
                  <c:v>Total</c:v>
                </c:pt>
              </c:strCache>
            </c:strRef>
          </c:tx>
          <c:spPr>
            <a:solidFill>
              <a:schemeClr val="accent1"/>
            </a:solidFill>
            <a:ln>
              <a:noFill/>
            </a:ln>
            <a:effectLst/>
          </c:spPr>
          <c:invertIfNegative val="0"/>
          <c:cat>
            <c:strRef>
              <c:f>'Pivot Table and charts'!$F$8:$F$14</c:f>
              <c:strCache>
                <c:ptCount val="6"/>
                <c:pt idx="0">
                  <c:v>United States</c:v>
                </c:pt>
                <c:pt idx="1">
                  <c:v>Australia</c:v>
                </c:pt>
                <c:pt idx="2">
                  <c:v>United Kingdom</c:v>
                </c:pt>
                <c:pt idx="3">
                  <c:v>France</c:v>
                </c:pt>
                <c:pt idx="4">
                  <c:v>Canada</c:v>
                </c:pt>
                <c:pt idx="5">
                  <c:v>Germany</c:v>
                </c:pt>
              </c:strCache>
            </c:strRef>
          </c:cat>
          <c:val>
            <c:numRef>
              <c:f>'Pivot Table and charts'!$G$8:$G$14</c:f>
              <c:numCache>
                <c:formatCode>0</c:formatCode>
                <c:ptCount val="6"/>
                <c:pt idx="0">
                  <c:v>8113774</c:v>
                </c:pt>
                <c:pt idx="1">
                  <c:v>6805270</c:v>
                </c:pt>
                <c:pt idx="2">
                  <c:v>2355532</c:v>
                </c:pt>
                <c:pt idx="3">
                  <c:v>2094036</c:v>
                </c:pt>
                <c:pt idx="4">
                  <c:v>1570474</c:v>
                </c:pt>
                <c:pt idx="5">
                  <c:v>1308758</c:v>
                </c:pt>
              </c:numCache>
            </c:numRef>
          </c:val>
          <c:extLst>
            <c:ext xmlns:c16="http://schemas.microsoft.com/office/drawing/2014/chart" uri="{C3380CC4-5D6E-409C-BE32-E72D297353CC}">
              <c16:uniqueId val="{00000000-E3A1-483B-92E7-A22EA60B544B}"/>
            </c:ext>
          </c:extLst>
        </c:ser>
        <c:dLbls>
          <c:showLegendKey val="0"/>
          <c:showVal val="0"/>
          <c:showCatName val="0"/>
          <c:showSerName val="0"/>
          <c:showPercent val="0"/>
          <c:showBubbleSize val="0"/>
        </c:dLbls>
        <c:gapWidth val="219"/>
        <c:axId val="213699696"/>
        <c:axId val="213693872"/>
      </c:barChart>
      <c:catAx>
        <c:axId val="213699696"/>
        <c:scaling>
          <c:orientation val="minMax"/>
        </c:scaling>
        <c:delete val="0"/>
        <c:axPos val="l"/>
        <c:numFmt formatCode="#,##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693872"/>
        <c:crosses val="autoZero"/>
        <c:auto val="1"/>
        <c:lblAlgn val="ctr"/>
        <c:lblOffset val="100"/>
        <c:noMultiLvlLbl val="0"/>
      </c:catAx>
      <c:valAx>
        <c:axId val="213693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3699696"/>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 and 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 and charts'!$J$7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91-4E31-9E31-EB849B39EE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91-4E31-9E31-EB849B39EE0C}"/>
              </c:ext>
            </c:extLst>
          </c:dPt>
          <c:cat>
            <c:strRef>
              <c:f>'Pivot Table and charts'!$I$8:$I$10</c:f>
              <c:strCache>
                <c:ptCount val="2"/>
                <c:pt idx="0">
                  <c:v>Female</c:v>
                </c:pt>
                <c:pt idx="1">
                  <c:v>Male</c:v>
                </c:pt>
              </c:strCache>
            </c:strRef>
          </c:cat>
          <c:val>
            <c:numRef>
              <c:f>'Pivot Table and charts'!$J$8:$J$10</c:f>
              <c:numCache>
                <c:formatCode>"₦"#,##0</c:formatCode>
                <c:ptCount val="2"/>
                <c:pt idx="0">
                  <c:v>207843</c:v>
                </c:pt>
                <c:pt idx="1">
                  <c:v>136003</c:v>
                </c:pt>
              </c:numCache>
            </c:numRef>
          </c:val>
          <c:extLst>
            <c:ext xmlns:c16="http://schemas.microsoft.com/office/drawing/2014/chart" uri="{C3380CC4-5D6E-409C-BE32-E72D297353CC}">
              <c16:uniqueId val="{00000000-C025-4B54-A4E4-DF6A0B63848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170693510709338"/>
          <c:y val="0.47451964594800378"/>
          <c:w val="0.23037086271722693"/>
          <c:h val="0.22140390659906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 and 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charts'!$M$7</c:f>
              <c:strCache>
                <c:ptCount val="1"/>
                <c:pt idx="0">
                  <c:v>Total</c:v>
                </c:pt>
              </c:strCache>
            </c:strRef>
          </c:tx>
          <c:spPr>
            <a:solidFill>
              <a:schemeClr val="accent1"/>
            </a:solidFill>
            <a:ln>
              <a:noFill/>
            </a:ln>
            <a:effectLst/>
          </c:spPr>
          <c:invertIfNegative val="0"/>
          <c:cat>
            <c:strRef>
              <c:f>'Pivot Table and charts'!$L$8:$L$11</c:f>
              <c:strCache>
                <c:ptCount val="3"/>
                <c:pt idx="0">
                  <c:v>Adults(35-64)</c:v>
                </c:pt>
                <c:pt idx="1">
                  <c:v>Young Adults(25-34)</c:v>
                </c:pt>
                <c:pt idx="2">
                  <c:v>Young(&lt;25)</c:v>
                </c:pt>
              </c:strCache>
            </c:strRef>
          </c:cat>
          <c:val>
            <c:numRef>
              <c:f>'Pivot Table and charts'!$M$8:$M$11</c:f>
              <c:numCache>
                <c:formatCode>General</c:formatCode>
                <c:ptCount val="3"/>
                <c:pt idx="0">
                  <c:v>205066</c:v>
                </c:pt>
                <c:pt idx="1">
                  <c:v>103450</c:v>
                </c:pt>
                <c:pt idx="2">
                  <c:v>35330</c:v>
                </c:pt>
              </c:numCache>
            </c:numRef>
          </c:val>
          <c:extLst>
            <c:ext xmlns:c16="http://schemas.microsoft.com/office/drawing/2014/chart" uri="{C3380CC4-5D6E-409C-BE32-E72D297353CC}">
              <c16:uniqueId val="{00000000-7EFF-4260-A0FF-5BDE4ED96DDD}"/>
            </c:ext>
          </c:extLst>
        </c:ser>
        <c:dLbls>
          <c:showLegendKey val="0"/>
          <c:showVal val="0"/>
          <c:showCatName val="0"/>
          <c:showSerName val="0"/>
          <c:showPercent val="0"/>
          <c:showBubbleSize val="0"/>
        </c:dLbls>
        <c:gapWidth val="219"/>
        <c:overlap val="-27"/>
        <c:axId val="300780656"/>
        <c:axId val="300772336"/>
      </c:barChart>
      <c:catAx>
        <c:axId val="30078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00772336"/>
        <c:crosses val="autoZero"/>
        <c:auto val="1"/>
        <c:lblAlgn val="ctr"/>
        <c:lblOffset val="100"/>
        <c:noMultiLvlLbl val="0"/>
      </c:catAx>
      <c:valAx>
        <c:axId val="30077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0078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 and charts!PivotTable12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charts'!$P$3</c:f>
              <c:strCache>
                <c:ptCount val="1"/>
                <c:pt idx="0">
                  <c:v>Total</c:v>
                </c:pt>
              </c:strCache>
            </c:strRef>
          </c:tx>
          <c:spPr>
            <a:solidFill>
              <a:schemeClr val="accent1"/>
            </a:solidFill>
            <a:ln>
              <a:noFill/>
            </a:ln>
            <a:effectLst/>
          </c:spPr>
          <c:invertIfNegative val="0"/>
          <c:cat>
            <c:strRef>
              <c:f>'Pivot Table and charts'!$O$4:$O$9</c:f>
              <c:strCache>
                <c:ptCount val="5"/>
                <c:pt idx="0">
                  <c:v>California</c:v>
                </c:pt>
                <c:pt idx="1">
                  <c:v>New South Wales</c:v>
                </c:pt>
                <c:pt idx="2">
                  <c:v>Queensland</c:v>
                </c:pt>
                <c:pt idx="3">
                  <c:v>Victoria</c:v>
                </c:pt>
                <c:pt idx="4">
                  <c:v>Washington</c:v>
                </c:pt>
              </c:strCache>
            </c:strRef>
          </c:cat>
          <c:val>
            <c:numRef>
              <c:f>'Pivot Table and charts'!$P$4:$P$9</c:f>
              <c:numCache>
                <c:formatCode>General</c:formatCode>
                <c:ptCount val="5"/>
                <c:pt idx="0">
                  <c:v>33834</c:v>
                </c:pt>
                <c:pt idx="1">
                  <c:v>18708</c:v>
                </c:pt>
                <c:pt idx="2">
                  <c:v>17786</c:v>
                </c:pt>
                <c:pt idx="3">
                  <c:v>12299</c:v>
                </c:pt>
                <c:pt idx="4">
                  <c:v>14114</c:v>
                </c:pt>
              </c:numCache>
            </c:numRef>
          </c:val>
          <c:extLst>
            <c:ext xmlns:c16="http://schemas.microsoft.com/office/drawing/2014/chart" uri="{C3380CC4-5D6E-409C-BE32-E72D297353CC}">
              <c16:uniqueId val="{00000000-EDD1-4FFC-AA7A-D8077FF335B3}"/>
            </c:ext>
          </c:extLst>
        </c:ser>
        <c:dLbls>
          <c:showLegendKey val="0"/>
          <c:showVal val="0"/>
          <c:showCatName val="0"/>
          <c:showSerName val="0"/>
          <c:showPercent val="0"/>
          <c:showBubbleSize val="0"/>
        </c:dLbls>
        <c:gapWidth val="219"/>
        <c:overlap val="-27"/>
        <c:axId val="286133440"/>
        <c:axId val="286135520"/>
      </c:barChart>
      <c:catAx>
        <c:axId val="28613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6135520"/>
        <c:crosses val="autoZero"/>
        <c:auto val="1"/>
        <c:lblAlgn val="ctr"/>
        <c:lblOffset val="100"/>
        <c:noMultiLvlLbl val="0"/>
      </c:catAx>
      <c:valAx>
        <c:axId val="28613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613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[NTech(Daniel A.).xlsx]Pivot Table and charts!PivotTable13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charts'!$U$3</c:f>
              <c:strCache>
                <c:ptCount val="1"/>
                <c:pt idx="0">
                  <c:v>Total</c:v>
                </c:pt>
              </c:strCache>
            </c:strRef>
          </c:tx>
          <c:spPr>
            <a:solidFill>
              <a:schemeClr val="accent1"/>
            </a:solidFill>
            <a:ln>
              <a:noFill/>
            </a:ln>
            <a:effectLst/>
          </c:spPr>
          <c:invertIfNegative val="0"/>
          <c:cat>
            <c:strRef>
              <c:f>'Pivot Table and charts'!$T$4:$T$10</c:f>
              <c:strCache>
                <c:ptCount val="6"/>
                <c:pt idx="0">
                  <c:v>Australia</c:v>
                </c:pt>
                <c:pt idx="1">
                  <c:v>Canada</c:v>
                </c:pt>
                <c:pt idx="2">
                  <c:v>France</c:v>
                </c:pt>
                <c:pt idx="3">
                  <c:v>Germany</c:v>
                </c:pt>
                <c:pt idx="4">
                  <c:v>United Kingdom</c:v>
                </c:pt>
                <c:pt idx="5">
                  <c:v>United States</c:v>
                </c:pt>
              </c:strCache>
            </c:strRef>
          </c:cat>
          <c:val>
            <c:numRef>
              <c:f>'Pivot Table and charts'!$U$4:$U$10</c:f>
              <c:numCache>
                <c:formatCode>General</c:formatCode>
                <c:ptCount val="6"/>
                <c:pt idx="0">
                  <c:v>26</c:v>
                </c:pt>
                <c:pt idx="1">
                  <c:v>6</c:v>
                </c:pt>
                <c:pt idx="2">
                  <c:v>8</c:v>
                </c:pt>
                <c:pt idx="3">
                  <c:v>5</c:v>
                </c:pt>
                <c:pt idx="4">
                  <c:v>9</c:v>
                </c:pt>
                <c:pt idx="5">
                  <c:v>31</c:v>
                </c:pt>
              </c:numCache>
            </c:numRef>
          </c:val>
          <c:extLst>
            <c:ext xmlns:c16="http://schemas.microsoft.com/office/drawing/2014/chart" uri="{C3380CC4-5D6E-409C-BE32-E72D297353CC}">
              <c16:uniqueId val="{00000000-600A-4F55-8ADF-090395461865}"/>
            </c:ext>
          </c:extLst>
        </c:ser>
        <c:dLbls>
          <c:showLegendKey val="0"/>
          <c:showVal val="0"/>
          <c:showCatName val="0"/>
          <c:showSerName val="0"/>
          <c:showPercent val="0"/>
          <c:showBubbleSize val="0"/>
        </c:dLbls>
        <c:gapWidth val="219"/>
        <c:overlap val="-27"/>
        <c:axId val="359634176"/>
        <c:axId val="359631680"/>
      </c:barChart>
      <c:catAx>
        <c:axId val="35963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9631680"/>
        <c:crosses val="autoZero"/>
        <c:auto val="1"/>
        <c:lblAlgn val="ctr"/>
        <c:lblOffset val="100"/>
        <c:noMultiLvlLbl val="0"/>
      </c:catAx>
      <c:valAx>
        <c:axId val="35963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59634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159627</xdr:colOff>
      <xdr:row>6</xdr:row>
      <xdr:rowOff>38268</xdr:rowOff>
    </xdr:from>
    <xdr:to>
      <xdr:col>7</xdr:col>
      <xdr:colOff>10798</xdr:colOff>
      <xdr:row>18</xdr:row>
      <xdr:rowOff>145425</xdr:rowOff>
    </xdr:to>
    <xdr:graphicFrame macro="">
      <xdr:nvGraphicFramePr>
        <xdr:cNvPr id="2" name="Chart 1">
          <a:extLst>
            <a:ext uri="{FF2B5EF4-FFF2-40B4-BE49-F238E27FC236}">
              <a16:creationId xmlns:a16="http://schemas.microsoft.com/office/drawing/2014/main" id="{31DA31CC-73C0-4D23-95A4-BE0F79B7F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597969</xdr:colOff>
      <xdr:row>18</xdr:row>
      <xdr:rowOff>175068</xdr:rowOff>
    </xdr:from>
    <xdr:to>
      <xdr:col>18</xdr:col>
      <xdr:colOff>582784</xdr:colOff>
      <xdr:row>32</xdr:row>
      <xdr:rowOff>169194</xdr:rowOff>
    </xdr:to>
    <xdr:graphicFrame macro="">
      <xdr:nvGraphicFramePr>
        <xdr:cNvPr id="3" name="Chart 2">
          <a:extLst>
            <a:ext uri="{FF2B5EF4-FFF2-40B4-BE49-F238E27FC236}">
              <a16:creationId xmlns:a16="http://schemas.microsoft.com/office/drawing/2014/main" id="{3221A31F-263B-49FF-8BDE-4984A0730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521523</xdr:colOff>
      <xdr:row>18</xdr:row>
      <xdr:rowOff>175068</xdr:rowOff>
    </xdr:from>
    <xdr:to>
      <xdr:col>13</xdr:col>
      <xdr:colOff>559495</xdr:colOff>
      <xdr:row>32</xdr:row>
      <xdr:rowOff>153827</xdr:rowOff>
    </xdr:to>
    <xdr:graphicFrame macro="">
      <xdr:nvGraphicFramePr>
        <xdr:cNvPr id="5" name="Chart 4">
          <a:extLst>
            <a:ext uri="{FF2B5EF4-FFF2-40B4-BE49-F238E27FC236}">
              <a16:creationId xmlns:a16="http://schemas.microsoft.com/office/drawing/2014/main" id="{C6DA1DF5-6CFA-4E8C-8A4F-FD7AB303F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35351</xdr:colOff>
      <xdr:row>18</xdr:row>
      <xdr:rowOff>175068</xdr:rowOff>
    </xdr:from>
    <xdr:to>
      <xdr:col>5</xdr:col>
      <xdr:colOff>483049</xdr:colOff>
      <xdr:row>32</xdr:row>
      <xdr:rowOff>158474</xdr:rowOff>
    </xdr:to>
    <xdr:graphicFrame macro="">
      <xdr:nvGraphicFramePr>
        <xdr:cNvPr id="9" name="Chart 8">
          <a:extLst>
            <a:ext uri="{FF2B5EF4-FFF2-40B4-BE49-F238E27FC236}">
              <a16:creationId xmlns:a16="http://schemas.microsoft.com/office/drawing/2014/main" id="{E22CB8BA-625B-43A7-91EE-BF2D47F50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45408</xdr:colOff>
      <xdr:row>6</xdr:row>
      <xdr:rowOff>23811</xdr:rowOff>
    </xdr:from>
    <xdr:to>
      <xdr:col>11</xdr:col>
      <xdr:colOff>188959</xdr:colOff>
      <xdr:row>18</xdr:row>
      <xdr:rowOff>145425</xdr:rowOff>
    </xdr:to>
    <xdr:graphicFrame macro="">
      <xdr:nvGraphicFramePr>
        <xdr:cNvPr id="10" name="Chart 9">
          <a:extLst>
            <a:ext uri="{FF2B5EF4-FFF2-40B4-BE49-F238E27FC236}">
              <a16:creationId xmlns:a16="http://schemas.microsoft.com/office/drawing/2014/main" id="{8E5609A5-C20E-4031-9442-25BB9C4A6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223570</xdr:colOff>
      <xdr:row>6</xdr:row>
      <xdr:rowOff>26361</xdr:rowOff>
    </xdr:from>
    <xdr:to>
      <xdr:col>15</xdr:col>
      <xdr:colOff>434781</xdr:colOff>
      <xdr:row>18</xdr:row>
      <xdr:rowOff>145425</xdr:rowOff>
    </xdr:to>
    <xdr:graphicFrame macro="">
      <xdr:nvGraphicFramePr>
        <xdr:cNvPr id="11" name="Chart 10">
          <a:extLst>
            <a:ext uri="{FF2B5EF4-FFF2-40B4-BE49-F238E27FC236}">
              <a16:creationId xmlns:a16="http://schemas.microsoft.com/office/drawing/2014/main" id="{D35CE62B-3455-4635-8234-C2ED286B7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469391</xdr:colOff>
      <xdr:row>6</xdr:row>
      <xdr:rowOff>39968</xdr:rowOff>
    </xdr:from>
    <xdr:to>
      <xdr:col>18</xdr:col>
      <xdr:colOff>625929</xdr:colOff>
      <xdr:row>18</xdr:row>
      <xdr:rowOff>145425</xdr:rowOff>
    </xdr:to>
    <xdr:graphicFrame macro="">
      <xdr:nvGraphicFramePr>
        <xdr:cNvPr id="14" name="Chart 13">
          <a:extLst>
            <a:ext uri="{FF2B5EF4-FFF2-40B4-BE49-F238E27FC236}">
              <a16:creationId xmlns:a16="http://schemas.microsoft.com/office/drawing/2014/main" id="{AC1CFAA3-71E9-4FA1-B6A0-57196F8AF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23812</xdr:colOff>
      <xdr:row>0</xdr:row>
      <xdr:rowOff>33337</xdr:rowOff>
    </xdr:from>
    <xdr:to>
      <xdr:col>6</xdr:col>
      <xdr:colOff>65484</xdr:colOff>
      <xdr:row>6</xdr:row>
      <xdr:rowOff>15477</xdr:rowOff>
    </xdr:to>
    <xdr:sp macro="" textlink="">
      <xdr:nvSpPr>
        <xdr:cNvPr id="4" name="TextBox 3">
          <a:extLst>
            <a:ext uri="{FF2B5EF4-FFF2-40B4-BE49-F238E27FC236}">
              <a16:creationId xmlns:a16="http://schemas.microsoft.com/office/drawing/2014/main" id="{3EF377C4-2398-4035-BE1B-734F5505EF53}"/>
            </a:ext>
          </a:extLst>
        </xdr:cNvPr>
        <xdr:cNvSpPr txBox="1"/>
      </xdr:nvSpPr>
      <xdr:spPr>
        <a:xfrm>
          <a:off x="23812" y="33337"/>
          <a:ext cx="3919708" cy="10843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accent1"/>
              </a:solidFill>
              <a:latin typeface="Times New Roman" panose="02020603050405020304" pitchFamily="18" charset="0"/>
              <a:cs typeface="Times New Roman" panose="02020603050405020304" pitchFamily="18" charset="0"/>
            </a:rPr>
            <a:t>BIKE SALES ANALYSIS</a:t>
          </a:r>
        </a:p>
        <a:p>
          <a:pPr algn="ctr"/>
          <a:r>
            <a:rPr lang="en-US" sz="2400">
              <a:solidFill>
                <a:schemeClr val="accent1"/>
              </a:solidFill>
              <a:latin typeface="Times New Roman" panose="02020603050405020304" pitchFamily="18" charset="0"/>
              <a:cs typeface="Times New Roman" panose="02020603050405020304" pitchFamily="18" charset="0"/>
            </a:rPr>
            <a:t>BY DANIEL A.</a:t>
          </a:r>
          <a:endParaRPr lang="en-NG" sz="2400">
            <a:solidFill>
              <a:schemeClr val="accent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92835</xdr:colOff>
      <xdr:row>0</xdr:row>
      <xdr:rowOff>33337</xdr:rowOff>
    </xdr:from>
    <xdr:to>
      <xdr:col>8</xdr:col>
      <xdr:colOff>217850</xdr:colOff>
      <xdr:row>6</xdr:row>
      <xdr:rowOff>13607</xdr:rowOff>
    </xdr:to>
    <xdr:sp macro="" textlink="">
      <xdr:nvSpPr>
        <xdr:cNvPr id="6" name="TextBox 5">
          <a:extLst>
            <a:ext uri="{FF2B5EF4-FFF2-40B4-BE49-F238E27FC236}">
              <a16:creationId xmlns:a16="http://schemas.microsoft.com/office/drawing/2014/main" id="{0E14F7CE-D3F0-4C4C-A72A-F833FA9461EB}"/>
            </a:ext>
          </a:extLst>
        </xdr:cNvPr>
        <xdr:cNvSpPr txBox="1"/>
      </xdr:nvSpPr>
      <xdr:spPr>
        <a:xfrm>
          <a:off x="3970871" y="33337"/>
          <a:ext cx="1417693" cy="1082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effectLst/>
              <a:latin typeface="+mn-lt"/>
              <a:ea typeface="+mn-ea"/>
              <a:cs typeface="+mn-cs"/>
            </a:rPr>
            <a:t>Total Cost </a:t>
          </a:r>
          <a:r>
            <a:rPr lang="en-US" sz="1600" b="1">
              <a:solidFill>
                <a:schemeClr val="tx1"/>
              </a:solidFill>
            </a:rPr>
            <a:t> </a:t>
          </a:r>
        </a:p>
        <a:p>
          <a:pPr algn="ctr"/>
          <a:r>
            <a:rPr lang="en-US" sz="1600" b="0" i="0" u="none" strike="noStrike">
              <a:solidFill>
                <a:schemeClr val="dk1"/>
              </a:solidFill>
              <a:effectLst/>
              <a:latin typeface="+mn-lt"/>
              <a:ea typeface="+mn-ea"/>
              <a:cs typeface="+mn-cs"/>
            </a:rPr>
            <a:t>$187,413.00</a:t>
          </a:r>
          <a:r>
            <a:rPr lang="en-US" sz="1600"/>
            <a:t> </a:t>
          </a:r>
          <a:endParaRPr lang="en-NG" sz="1600"/>
        </a:p>
      </xdr:txBody>
    </xdr:sp>
    <xdr:clientData/>
  </xdr:twoCellAnchor>
  <xdr:twoCellAnchor>
    <xdr:from>
      <xdr:col>8</xdr:col>
      <xdr:colOff>245201</xdr:colOff>
      <xdr:row>0</xdr:row>
      <xdr:rowOff>33337</xdr:rowOff>
    </xdr:from>
    <xdr:to>
      <xdr:col>10</xdr:col>
      <xdr:colOff>554764</xdr:colOff>
      <xdr:row>5</xdr:row>
      <xdr:rowOff>175362</xdr:rowOff>
    </xdr:to>
    <xdr:sp macro="" textlink="">
      <xdr:nvSpPr>
        <xdr:cNvPr id="12" name="TextBox 11">
          <a:extLst>
            <a:ext uri="{FF2B5EF4-FFF2-40B4-BE49-F238E27FC236}">
              <a16:creationId xmlns:a16="http://schemas.microsoft.com/office/drawing/2014/main" id="{64AB1D4F-01CA-44EF-8951-8C743A96A3F1}"/>
            </a:ext>
          </a:extLst>
        </xdr:cNvPr>
        <xdr:cNvSpPr txBox="1"/>
      </xdr:nvSpPr>
      <xdr:spPr>
        <a:xfrm>
          <a:off x="5415915" y="33337"/>
          <a:ext cx="1602242" cy="10605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mn-lt"/>
              <a:ea typeface="+mn-ea"/>
              <a:cs typeface="+mn-cs"/>
            </a:rPr>
            <a:t>Total Profit </a:t>
          </a:r>
        </a:p>
        <a:p>
          <a:pPr algn="ctr"/>
          <a:r>
            <a:rPr lang="en-US" sz="1600"/>
            <a:t> </a:t>
          </a:r>
          <a:r>
            <a:rPr lang="en-US" sz="1600" b="0" i="0" u="none" strike="noStrike">
              <a:solidFill>
                <a:schemeClr val="dk1"/>
              </a:solidFill>
              <a:effectLst/>
              <a:latin typeface="+mn-lt"/>
              <a:ea typeface="+mn-ea"/>
              <a:cs typeface="+mn-cs"/>
            </a:rPr>
            <a:t>$157,005.00</a:t>
          </a:r>
          <a:r>
            <a:rPr lang="en-US" sz="1600"/>
            <a:t> </a:t>
          </a:r>
          <a:endParaRPr lang="en-NG" sz="1600"/>
        </a:p>
      </xdr:txBody>
    </xdr:sp>
    <xdr:clientData/>
  </xdr:twoCellAnchor>
  <xdr:twoCellAnchor>
    <xdr:from>
      <xdr:col>10</xdr:col>
      <xdr:colOff>582115</xdr:colOff>
      <xdr:row>0</xdr:row>
      <xdr:rowOff>33337</xdr:rowOff>
    </xdr:from>
    <xdr:to>
      <xdr:col>13</xdr:col>
      <xdr:colOff>458288</xdr:colOff>
      <xdr:row>5</xdr:row>
      <xdr:rowOff>170088</xdr:rowOff>
    </xdr:to>
    <xdr:sp macro="" textlink="">
      <xdr:nvSpPr>
        <xdr:cNvPr id="13" name="TextBox 12">
          <a:extLst>
            <a:ext uri="{FF2B5EF4-FFF2-40B4-BE49-F238E27FC236}">
              <a16:creationId xmlns:a16="http://schemas.microsoft.com/office/drawing/2014/main" id="{9EF160D1-3821-4A0C-AA77-CB79BF4804A9}"/>
            </a:ext>
          </a:extLst>
        </xdr:cNvPr>
        <xdr:cNvSpPr txBox="1"/>
      </xdr:nvSpPr>
      <xdr:spPr>
        <a:xfrm>
          <a:off x="7045508" y="33337"/>
          <a:ext cx="1815191" cy="1055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mn-lt"/>
              <a:ea typeface="+mn-ea"/>
              <a:cs typeface="+mn-cs"/>
            </a:rPr>
            <a:t>Total Revenue</a:t>
          </a:r>
          <a:r>
            <a:rPr lang="en-US" sz="1600"/>
            <a:t> </a:t>
          </a:r>
          <a:r>
            <a:rPr lang="en-US" sz="1600" b="0" i="0" u="none" strike="noStrike">
              <a:solidFill>
                <a:schemeClr val="dk1"/>
              </a:solidFill>
              <a:effectLst/>
              <a:latin typeface="+mn-lt"/>
              <a:ea typeface="+mn-ea"/>
              <a:cs typeface="+mn-cs"/>
            </a:rPr>
            <a:t>$343,846.00</a:t>
          </a:r>
          <a:r>
            <a:rPr lang="en-US" sz="1600"/>
            <a:t> </a:t>
          </a:r>
          <a:endParaRPr lang="en-NG" sz="1600"/>
        </a:p>
      </xdr:txBody>
    </xdr:sp>
    <xdr:clientData/>
  </xdr:twoCellAnchor>
  <xdr:twoCellAnchor>
    <xdr:from>
      <xdr:col>13</xdr:col>
      <xdr:colOff>485639</xdr:colOff>
      <xdr:row>0</xdr:row>
      <xdr:rowOff>33337</xdr:rowOff>
    </xdr:from>
    <xdr:to>
      <xdr:col>16</xdr:col>
      <xdr:colOff>13131</xdr:colOff>
      <xdr:row>5</xdr:row>
      <xdr:rowOff>176892</xdr:rowOff>
    </xdr:to>
    <xdr:sp macro="" textlink="">
      <xdr:nvSpPr>
        <xdr:cNvPr id="15" name="TextBox 14">
          <a:extLst>
            <a:ext uri="{FF2B5EF4-FFF2-40B4-BE49-F238E27FC236}">
              <a16:creationId xmlns:a16="http://schemas.microsoft.com/office/drawing/2014/main" id="{8CC8FD17-3B6B-4F15-BDE5-00DBB6BA3D90}"/>
            </a:ext>
          </a:extLst>
        </xdr:cNvPr>
        <xdr:cNvSpPr txBox="1"/>
      </xdr:nvSpPr>
      <xdr:spPr>
        <a:xfrm>
          <a:off x="8888050" y="33337"/>
          <a:ext cx="1466510" cy="10620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mn-lt"/>
              <a:ea typeface="+mn-ea"/>
              <a:cs typeface="+mn-cs"/>
            </a:rPr>
            <a:t>Total Sales</a:t>
          </a:r>
          <a:r>
            <a:rPr lang="en-US" sz="1400" b="1" i="0" u="none" strike="noStrike" baseline="0">
              <a:solidFill>
                <a:schemeClr val="dk1"/>
              </a:solidFill>
              <a:effectLst/>
              <a:latin typeface="+mn-lt"/>
              <a:ea typeface="+mn-ea"/>
              <a:cs typeface="+mn-cs"/>
            </a:rPr>
            <a:t> </a:t>
          </a:r>
          <a:r>
            <a:rPr lang="en-US" sz="1400" b="1" i="0" u="none" strike="noStrike">
              <a:solidFill>
                <a:schemeClr val="dk1"/>
              </a:solidFill>
              <a:effectLst/>
              <a:latin typeface="+mn-lt"/>
              <a:ea typeface="+mn-ea"/>
              <a:cs typeface="+mn-cs"/>
            </a:rPr>
            <a:t>Order </a:t>
          </a:r>
        </a:p>
        <a:p>
          <a:pPr algn="ctr"/>
          <a:r>
            <a:rPr lang="en-US" sz="1400" b="1" i="0" u="none" strike="noStrike">
              <a:solidFill>
                <a:schemeClr val="dk1"/>
              </a:solidFill>
              <a:effectLst/>
              <a:latin typeface="+mn-lt"/>
              <a:ea typeface="+mn-ea"/>
              <a:cs typeface="+mn-cs"/>
            </a:rPr>
            <a:t>#</a:t>
          </a:r>
          <a:r>
            <a:rPr lang="en-US" sz="1400"/>
            <a:t> </a:t>
          </a:r>
          <a:r>
            <a:rPr lang="en-US" sz="1400" b="0" i="0" u="none" strike="noStrike">
              <a:solidFill>
                <a:schemeClr val="dk1"/>
              </a:solidFill>
              <a:effectLst/>
              <a:latin typeface="+mn-lt"/>
              <a:ea typeface="+mn-ea"/>
              <a:cs typeface="+mn-cs"/>
            </a:rPr>
            <a:t>85</a:t>
          </a:r>
          <a:r>
            <a:rPr lang="en-US" sz="1400"/>
            <a:t> </a:t>
          </a:r>
          <a:endParaRPr lang="en-NG" sz="1400"/>
        </a:p>
      </xdr:txBody>
    </xdr:sp>
    <xdr:clientData/>
  </xdr:twoCellAnchor>
  <xdr:twoCellAnchor editAs="oneCell">
    <xdr:from>
      <xdr:col>0</xdr:col>
      <xdr:colOff>11906</xdr:colOff>
      <xdr:row>6</xdr:row>
      <xdr:rowOff>73987</xdr:rowOff>
    </xdr:from>
    <xdr:to>
      <xdr:col>2</xdr:col>
      <xdr:colOff>125016</xdr:colOff>
      <xdr:row>18</xdr:row>
      <xdr:rowOff>145425</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DC7B544D-56E3-4BDD-92C9-69DD87FCA3A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906" y="1164349"/>
              <a:ext cx="1403998" cy="225216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40481</xdr:colOff>
      <xdr:row>0</xdr:row>
      <xdr:rowOff>33337</xdr:rowOff>
    </xdr:from>
    <xdr:to>
      <xdr:col>18</xdr:col>
      <xdr:colOff>589360</xdr:colOff>
      <xdr:row>5</xdr:row>
      <xdr:rowOff>166687</xdr:rowOff>
    </xdr:to>
    <mc:AlternateContent xmlns:mc="http://schemas.openxmlformats.org/markup-compatibility/2006">
      <mc:Choice xmlns:a14="http://schemas.microsoft.com/office/drawing/2010/main" Requires="a14">
        <xdr:graphicFrame macro="">
          <xdr:nvGraphicFramePr>
            <xdr:cNvPr id="8" name="Customer_Gender">
              <a:extLst>
                <a:ext uri="{FF2B5EF4-FFF2-40B4-BE49-F238E27FC236}">
                  <a16:creationId xmlns:a16="http://schemas.microsoft.com/office/drawing/2014/main" id="{29E14707-2462-4921-90A5-2DC2BA6A2108}"/>
                </a:ext>
              </a:extLst>
            </xdr:cNvPr>
            <xdr:cNvGraphicFramePr/>
          </xdr:nvGraphicFramePr>
          <xdr:xfrm>
            <a:off x="0" y="0"/>
            <a:ext cx="0" cy="0"/>
          </xdr:xfrm>
          <a:graphic>
            <a:graphicData uri="http://schemas.microsoft.com/office/drawing/2010/slicer">
              <sle:slicer xmlns:sle="http://schemas.microsoft.com/office/drawing/2010/slicer" name="Customer_Gender"/>
            </a:graphicData>
          </a:graphic>
        </xdr:graphicFrame>
      </mc:Choice>
      <mc:Fallback>
        <xdr:sp macro="" textlink="">
          <xdr:nvSpPr>
            <xdr:cNvPr id="0" name=""/>
            <xdr:cNvSpPr>
              <a:spLocks noTextEdit="1"/>
            </xdr:cNvSpPr>
          </xdr:nvSpPr>
          <xdr:spPr>
            <a:xfrm>
              <a:off x="10367586" y="33337"/>
              <a:ext cx="1839767" cy="104198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247650</xdr:colOff>
      <xdr:row>9</xdr:row>
      <xdr:rowOff>152400</xdr:rowOff>
    </xdr:from>
    <xdr:to>
      <xdr:col>4</xdr:col>
      <xdr:colOff>19051</xdr:colOff>
      <xdr:row>21</xdr:row>
      <xdr:rowOff>135730</xdr:rowOff>
    </xdr:to>
    <xdr:graphicFrame macro="">
      <xdr:nvGraphicFramePr>
        <xdr:cNvPr id="2" name="Chart 1">
          <a:extLst>
            <a:ext uri="{FF2B5EF4-FFF2-40B4-BE49-F238E27FC236}">
              <a16:creationId xmlns:a16="http://schemas.microsoft.com/office/drawing/2014/main" id="{EB28286E-595C-44A4-8CC5-08673425C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300037</xdr:colOff>
      <xdr:row>5</xdr:row>
      <xdr:rowOff>114300</xdr:rowOff>
    </xdr:from>
    <xdr:to>
      <xdr:col>6</xdr:col>
      <xdr:colOff>1185863</xdr:colOff>
      <xdr:row>19</xdr:row>
      <xdr:rowOff>114299</xdr:rowOff>
    </xdr:to>
    <xdr:graphicFrame macro="">
      <xdr:nvGraphicFramePr>
        <xdr:cNvPr id="3" name="Chart 2">
          <a:extLst>
            <a:ext uri="{FF2B5EF4-FFF2-40B4-BE49-F238E27FC236}">
              <a16:creationId xmlns:a16="http://schemas.microsoft.com/office/drawing/2014/main" id="{DAB45285-88F2-4479-B521-59815205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302420</xdr:colOff>
      <xdr:row>11</xdr:row>
      <xdr:rowOff>11908</xdr:rowOff>
    </xdr:from>
    <xdr:to>
      <xdr:col>10</xdr:col>
      <xdr:colOff>252413</xdr:colOff>
      <xdr:row>21</xdr:row>
      <xdr:rowOff>138113</xdr:rowOff>
    </xdr:to>
    <xdr:graphicFrame macro="">
      <xdr:nvGraphicFramePr>
        <xdr:cNvPr id="4" name="Chart 3">
          <a:extLst>
            <a:ext uri="{FF2B5EF4-FFF2-40B4-BE49-F238E27FC236}">
              <a16:creationId xmlns:a16="http://schemas.microsoft.com/office/drawing/2014/main" id="{79BDD7B1-112F-490B-A546-4C753294E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678657</xdr:colOff>
      <xdr:row>11</xdr:row>
      <xdr:rowOff>130969</xdr:rowOff>
    </xdr:from>
    <xdr:to>
      <xdr:col>13</xdr:col>
      <xdr:colOff>223839</xdr:colOff>
      <xdr:row>22</xdr:row>
      <xdr:rowOff>1</xdr:rowOff>
    </xdr:to>
    <xdr:graphicFrame macro="">
      <xdr:nvGraphicFramePr>
        <xdr:cNvPr id="5" name="Chart 4">
          <a:extLst>
            <a:ext uri="{FF2B5EF4-FFF2-40B4-BE49-F238E27FC236}">
              <a16:creationId xmlns:a16="http://schemas.microsoft.com/office/drawing/2014/main" id="{F86806CA-50FF-49D3-AF97-552556704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302418</xdr:colOff>
      <xdr:row>8</xdr:row>
      <xdr:rowOff>47624</xdr:rowOff>
    </xdr:from>
    <xdr:to>
      <xdr:col>17</xdr:col>
      <xdr:colOff>476250</xdr:colOff>
      <xdr:row>22</xdr:row>
      <xdr:rowOff>11905</xdr:rowOff>
    </xdr:to>
    <xdr:graphicFrame macro="">
      <xdr:nvGraphicFramePr>
        <xdr:cNvPr id="6" name="Chart 5">
          <a:extLst>
            <a:ext uri="{FF2B5EF4-FFF2-40B4-BE49-F238E27FC236}">
              <a16:creationId xmlns:a16="http://schemas.microsoft.com/office/drawing/2014/main" id="{0FDA807A-DA7E-4BA5-B620-D7EFD70C6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640556</xdr:colOff>
      <xdr:row>3</xdr:row>
      <xdr:rowOff>64293</xdr:rowOff>
    </xdr:from>
    <xdr:to>
      <xdr:col>22</xdr:col>
      <xdr:colOff>347663</xdr:colOff>
      <xdr:row>17</xdr:row>
      <xdr:rowOff>66675</xdr:rowOff>
    </xdr:to>
    <xdr:graphicFrame macro="">
      <xdr:nvGraphicFramePr>
        <xdr:cNvPr id="7" name="Chart 6">
          <a:extLst>
            <a:ext uri="{FF2B5EF4-FFF2-40B4-BE49-F238E27FC236}">
              <a16:creationId xmlns:a16="http://schemas.microsoft.com/office/drawing/2014/main" id="{93FC407F-46D5-4D4E-A9D3-108E0B10C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19051</xdr:colOff>
      <xdr:row>0</xdr:row>
      <xdr:rowOff>42863</xdr:rowOff>
    </xdr:from>
    <xdr:to>
      <xdr:col>5</xdr:col>
      <xdr:colOff>400051</xdr:colOff>
      <xdr:row>2</xdr:row>
      <xdr:rowOff>76200</xdr:rowOff>
    </xdr:to>
    <xdr:sp macro="" textlink="">
      <xdr:nvSpPr>
        <xdr:cNvPr id="2" name="TextBox 1">
          <a:extLst>
            <a:ext uri="{FF2B5EF4-FFF2-40B4-BE49-F238E27FC236}">
              <a16:creationId xmlns:a16="http://schemas.microsoft.com/office/drawing/2014/main" id="{7F72781C-242D-47A8-B7DA-057C14597539}"/>
            </a:ext>
          </a:extLst>
        </xdr:cNvPr>
        <xdr:cNvSpPr txBox="1"/>
      </xdr:nvSpPr>
      <xdr:spPr>
        <a:xfrm>
          <a:off x="666751" y="42863"/>
          <a:ext cx="2971800" cy="395287"/>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BIKE SALES DAQSHBOARD</a:t>
          </a:r>
          <a:endParaRPr lang="en-NG" sz="2000"/>
        </a:p>
      </xdr:txBody>
    </xdr:sp>
    <xdr:clientData/>
  </xdr:twoCellAnchor>
  <xdr:twoCellAnchor>
    <xdr:from>
      <xdr:col>1</xdr:col>
      <xdr:colOff>247650</xdr:colOff>
      <xdr:row>4</xdr:row>
      <xdr:rowOff>4763</xdr:rowOff>
    </xdr:from>
    <xdr:to>
      <xdr:col>2</xdr:col>
      <xdr:colOff>352425</xdr:colOff>
      <xdr:row>6</xdr:row>
      <xdr:rowOff>28575</xdr:rowOff>
    </xdr:to>
    <xdr:sp macro="" textlink="">
      <xdr:nvSpPr>
        <xdr:cNvPr id="3" name="TextBox 2">
          <a:extLst>
            <a:ext uri="{FF2B5EF4-FFF2-40B4-BE49-F238E27FC236}">
              <a16:creationId xmlns:a16="http://schemas.microsoft.com/office/drawing/2014/main" id="{5E54A85E-4F67-454F-AFC0-B01409C7C125}"/>
            </a:ext>
          </a:extLst>
        </xdr:cNvPr>
        <xdr:cNvSpPr txBox="1"/>
      </xdr:nvSpPr>
      <xdr:spPr>
        <a:xfrm>
          <a:off x="895350" y="728663"/>
          <a:ext cx="752475" cy="38576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2</xdr:col>
      <xdr:colOff>485775</xdr:colOff>
      <xdr:row>4</xdr:row>
      <xdr:rowOff>4763</xdr:rowOff>
    </xdr:from>
    <xdr:to>
      <xdr:col>3</xdr:col>
      <xdr:colOff>590550</xdr:colOff>
      <xdr:row>6</xdr:row>
      <xdr:rowOff>28575</xdr:rowOff>
    </xdr:to>
    <xdr:sp macro="" textlink="">
      <xdr:nvSpPr>
        <xdr:cNvPr id="4" name="TextBox 3">
          <a:extLst>
            <a:ext uri="{FF2B5EF4-FFF2-40B4-BE49-F238E27FC236}">
              <a16:creationId xmlns:a16="http://schemas.microsoft.com/office/drawing/2014/main" id="{21E7BF20-A23E-47F5-87C8-C4C2016E0646}"/>
            </a:ext>
          </a:extLst>
        </xdr:cNvPr>
        <xdr:cNvSpPr txBox="1"/>
      </xdr:nvSpPr>
      <xdr:spPr>
        <a:xfrm>
          <a:off x="1781175" y="728663"/>
          <a:ext cx="752475" cy="38576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4</xdr:col>
      <xdr:colOff>76200</xdr:colOff>
      <xdr:row>4</xdr:row>
      <xdr:rowOff>4763</xdr:rowOff>
    </xdr:from>
    <xdr:to>
      <xdr:col>5</xdr:col>
      <xdr:colOff>180975</xdr:colOff>
      <xdr:row>6</xdr:row>
      <xdr:rowOff>28575</xdr:rowOff>
    </xdr:to>
    <xdr:sp macro="" textlink="">
      <xdr:nvSpPr>
        <xdr:cNvPr id="5" name="TextBox 4">
          <a:extLst>
            <a:ext uri="{FF2B5EF4-FFF2-40B4-BE49-F238E27FC236}">
              <a16:creationId xmlns:a16="http://schemas.microsoft.com/office/drawing/2014/main" id="{FC798162-86B2-4865-A01D-9A2708DCEF6F}"/>
            </a:ext>
          </a:extLst>
        </xdr:cNvPr>
        <xdr:cNvSpPr txBox="1"/>
      </xdr:nvSpPr>
      <xdr:spPr>
        <a:xfrm>
          <a:off x="2667000" y="728663"/>
          <a:ext cx="752475" cy="38576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5</xdr:col>
      <xdr:colOff>314325</xdr:colOff>
      <xdr:row>4</xdr:row>
      <xdr:rowOff>4763</xdr:rowOff>
    </xdr:from>
    <xdr:to>
      <xdr:col>6</xdr:col>
      <xdr:colOff>419100</xdr:colOff>
      <xdr:row>6</xdr:row>
      <xdr:rowOff>28575</xdr:rowOff>
    </xdr:to>
    <xdr:sp macro="" textlink="">
      <xdr:nvSpPr>
        <xdr:cNvPr id="6" name="TextBox 5">
          <a:extLst>
            <a:ext uri="{FF2B5EF4-FFF2-40B4-BE49-F238E27FC236}">
              <a16:creationId xmlns:a16="http://schemas.microsoft.com/office/drawing/2014/main" id="{D717EF4C-6CB6-40AE-A581-F199292D032E}"/>
            </a:ext>
          </a:extLst>
        </xdr:cNvPr>
        <xdr:cNvSpPr txBox="1"/>
      </xdr:nvSpPr>
      <xdr:spPr>
        <a:xfrm>
          <a:off x="3552825" y="728663"/>
          <a:ext cx="752475" cy="38576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7.450649999999" createdVersion="7" refreshedVersion="7" minRefreshableVersion="3" recordCount="85" xr:uid="{1C0DDC71-13FF-421F-A76F-9F3DD42D62C6}">
  <cacheSource type="worksheet">
    <worksheetSource name="Table1"/>
  </cacheSource>
  <cacheFields count="16">
    <cacheField name="Sales_Order #" numFmtId="0">
      <sharedItems containsSemiMixedTypes="0" containsString="0" containsNumber="1" containsInteger="1" minValue="261695" maxValue="261782" count="83">
        <n v="261695"/>
        <n v="261697"/>
        <n v="261698"/>
        <n v="261699"/>
        <n v="261700"/>
        <n v="261701"/>
        <n v="261702"/>
        <n v="261703"/>
        <n v="261705"/>
        <n v="261706"/>
        <n v="261707"/>
        <n v="261708"/>
        <n v="261710"/>
        <n v="261711"/>
        <n v="261712"/>
        <n v="261713"/>
        <n v="261714"/>
        <n v="261717"/>
        <n v="261718"/>
        <n v="261719"/>
        <n v="261720"/>
        <n v="261721"/>
        <n v="261722"/>
        <n v="261723"/>
        <n v="261724"/>
        <n v="261725"/>
        <n v="261726"/>
        <n v="261727"/>
        <n v="261728"/>
        <n v="261729"/>
        <n v="261730"/>
        <n v="261731"/>
        <n v="261732"/>
        <n v="261733"/>
        <n v="261734"/>
        <n v="261735"/>
        <n v="261736"/>
        <n v="261737"/>
        <n v="261738"/>
        <n v="261739"/>
        <n v="261740"/>
        <n v="261741"/>
        <n v="261742"/>
        <n v="261743"/>
        <n v="261744"/>
        <n v="261745"/>
        <n v="261746"/>
        <n v="261747"/>
        <n v="261748"/>
        <n v="261749"/>
        <n v="261750"/>
        <n v="261751"/>
        <n v="261752"/>
        <n v="261753"/>
        <n v="261754"/>
        <n v="261755"/>
        <n v="261756"/>
        <n v="261757"/>
        <n v="261758"/>
        <n v="261759"/>
        <n v="261760"/>
        <n v="261761"/>
        <n v="261762"/>
        <n v="261763"/>
        <n v="261764"/>
        <n v="261765"/>
        <n v="261766"/>
        <n v="261767"/>
        <n v="261768"/>
        <n v="261769"/>
        <n v="261770"/>
        <n v="261771"/>
        <n v="261772"/>
        <n v="261773"/>
        <n v="261774"/>
        <n v="261775"/>
        <n v="261776"/>
        <n v="261777"/>
        <n v="261778"/>
        <n v="261779"/>
        <n v="261780"/>
        <n v="261781"/>
        <n v="261782"/>
      </sharedItems>
    </cacheField>
    <cacheField name="Date" numFmtId="14">
      <sharedItems containsSemiMixedTypes="0" containsNonDate="0" containsDate="1" containsString="0" minDate="2021-12-01T00:00:00" maxDate="2021-12-25T00:00:00" count="24">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sharedItems>
    </cacheField>
    <cacheField name="Customer_Age" numFmtId="0">
      <sharedItems containsSemiMixedTypes="0" containsString="0" containsNumber="1" containsInteger="1" minValue="17" maxValue="63" count="28">
        <n v="39"/>
        <n v="44"/>
        <n v="37"/>
        <n v="31"/>
        <n v="24"/>
        <n v="35"/>
        <n v="23"/>
        <n v="27"/>
        <n v="47"/>
        <n v="30"/>
        <n v="38"/>
        <n v="19"/>
        <n v="33"/>
        <n v="41"/>
        <n v="34"/>
        <n v="40"/>
        <n v="26"/>
        <n v="36"/>
        <n v="32"/>
        <n v="49"/>
        <n v="29"/>
        <n v="42"/>
        <n v="17"/>
        <n v="25"/>
        <n v="63"/>
        <n v="18"/>
        <n v="56"/>
        <n v="57"/>
      </sharedItems>
    </cacheField>
    <cacheField name="Customer_Gender" numFmtId="0">
      <sharedItems count="2">
        <s v="Female"/>
        <s v="Male"/>
      </sharedItems>
    </cacheField>
    <cacheField name="Age Group" numFmtId="0">
      <sharedItems count="3">
        <s v="Adults(35-64)"/>
        <s v="Young Adults(25-34)"/>
        <s v="Young(&lt;25)"/>
      </sharedItems>
    </cacheField>
    <cacheField name="Country" numFmtId="0">
      <sharedItems count="6">
        <s v="United States"/>
        <s v="United Kingdom"/>
        <s v="Australia"/>
        <s v="Canada"/>
        <s v="Germany"/>
        <s v="France"/>
      </sharedItems>
    </cacheField>
    <cacheField name="State" numFmtId="0">
      <sharedItems count="17">
        <s v="California"/>
        <s v="England"/>
        <s v="New South Wales"/>
        <s v="Washington"/>
        <s v="Queensland"/>
        <s v="British Columbia"/>
        <s v="Victoria"/>
        <s v="Hamburg"/>
        <s v="Seine (Paris)"/>
        <s v="Seine et Marne"/>
        <s v="Nordrhein-Westfalen"/>
        <s v="Seine Saint Denis"/>
        <s v="Nord"/>
        <s v="Oregon"/>
        <s v="South Australia"/>
        <s v="Hessen"/>
        <s v="Somme"/>
      </sharedItems>
    </cacheField>
    <cacheField name="Product_Category" numFmtId="0">
      <sharedItems count="1">
        <s v="Bikes"/>
      </sharedItems>
    </cacheField>
    <cacheField name="Sub_Category" numFmtId="0">
      <sharedItems count="1">
        <s v="Mountain Bikes"/>
      </sharedItems>
    </cacheField>
    <cacheField name="Product_Description" numFmtId="0">
      <sharedItems/>
    </cacheField>
    <cacheField name="Order_Quantity" numFmtId="0">
      <sharedItems containsSemiMixedTypes="0" containsString="0" containsNumber="1" containsInteger="1" minValue="1" maxValue="4"/>
    </cacheField>
    <cacheField name=" Unit_Cost " numFmtId="164">
      <sharedItems containsSemiMixedTypes="0" containsString="0" containsNumber="1" containsInteger="1" minValue="0" maxValue="1912" count="8">
        <n v="1252"/>
        <n v="1266"/>
        <n v="420"/>
        <n v="0"/>
        <n v="308"/>
        <n v="1898"/>
        <n v="295"/>
        <n v="1912"/>
      </sharedItems>
    </cacheField>
    <cacheField name=" Unit_Price " numFmtId="164">
      <sharedItems containsSemiMixedTypes="0" containsString="0" containsNumber="1" containsInteger="1" minValue="0" maxValue="3400" count="8">
        <n v="2295"/>
        <n v="2320"/>
        <n v="769"/>
        <n v="0"/>
        <n v="565"/>
        <n v="3375"/>
        <n v="540"/>
        <n v="3400"/>
      </sharedItems>
    </cacheField>
    <cacheField name=" Profit " numFmtId="164">
      <sharedItems containsSemiMixedTypes="0" containsString="0" containsNumber="1" containsInteger="1" minValue="245" maxValue="5908" count="21">
        <n v="4172"/>
        <n v="1054"/>
        <n v="698"/>
        <n v="349"/>
        <n v="2086"/>
        <n v="1043"/>
        <n v="1396"/>
        <n v="1047"/>
        <n v="2108"/>
        <n v="1028"/>
        <n v="4216"/>
        <n v="2954"/>
        <n v="245"/>
        <n v="1488"/>
        <n v="3129"/>
        <n v="3162"/>
        <n v="257"/>
        <n v="980"/>
        <n v="5908"/>
        <n v="490"/>
        <n v="735"/>
      </sharedItems>
    </cacheField>
    <cacheField name=" Cost " numFmtId="164">
      <sharedItems containsSemiMixedTypes="0" containsString="0" containsNumber="1" containsInteger="1" minValue="0" maxValue="7592"/>
    </cacheField>
    <cacheField name="Revenue" numFmtId="164">
      <sharedItems containsSemiMixedTypes="0" containsString="0" containsNumber="1" containsInteger="1" minValue="0" maxValue="13500"/>
    </cacheField>
  </cacheFields>
  <extLst>
    <ext xmlns:x14="http://schemas.microsoft.com/office/spreadsheetml/2009/9/main" uri="{725AE2AE-9491-48be-B2B4-4EB974FC3084}">
      <x14:pivotCacheDefinition pivotCacheId="11188773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x v="0"/>
    <x v="0"/>
    <s v="Mountain-200 Black, 46"/>
    <n v="4"/>
    <x v="0"/>
    <x v="0"/>
    <x v="0"/>
    <n v="5008"/>
    <n v="9180"/>
  </r>
  <r>
    <x v="0"/>
    <x v="0"/>
    <x v="1"/>
    <x v="1"/>
    <x v="0"/>
    <x v="1"/>
    <x v="1"/>
    <x v="0"/>
    <x v="0"/>
    <s v="Mountain-200 Silver, 42"/>
    <n v="1"/>
    <x v="1"/>
    <x v="1"/>
    <x v="1"/>
    <n v="1266"/>
    <n v="2320"/>
  </r>
  <r>
    <x v="1"/>
    <x v="1"/>
    <x v="2"/>
    <x v="1"/>
    <x v="0"/>
    <x v="0"/>
    <x v="0"/>
    <x v="0"/>
    <x v="0"/>
    <s v="Mountain-400-W Silver, 46"/>
    <n v="2"/>
    <x v="2"/>
    <x v="2"/>
    <x v="2"/>
    <n v="840"/>
    <n v="1538"/>
  </r>
  <r>
    <x v="2"/>
    <x v="1"/>
    <x v="3"/>
    <x v="0"/>
    <x v="1"/>
    <x v="2"/>
    <x v="2"/>
    <x v="0"/>
    <x v="0"/>
    <s v="Mountain-400-W Silver, 42"/>
    <n v="1"/>
    <x v="2"/>
    <x v="2"/>
    <x v="3"/>
    <n v="420"/>
    <n v="769"/>
  </r>
  <r>
    <x v="3"/>
    <x v="2"/>
    <x v="2"/>
    <x v="0"/>
    <x v="0"/>
    <x v="0"/>
    <x v="0"/>
    <x v="0"/>
    <x v="0"/>
    <s v="Mountain-200 Black, 46"/>
    <n v="2"/>
    <x v="3"/>
    <x v="0"/>
    <x v="4"/>
    <n v="0"/>
    <n v="4590"/>
  </r>
  <r>
    <x v="4"/>
    <x v="2"/>
    <x v="4"/>
    <x v="0"/>
    <x v="2"/>
    <x v="1"/>
    <x v="1"/>
    <x v="0"/>
    <x v="0"/>
    <s v="Mountain-200 Black, 38"/>
    <n v="1"/>
    <x v="0"/>
    <x v="0"/>
    <x v="5"/>
    <n v="1252"/>
    <n v="2295"/>
  </r>
  <r>
    <x v="5"/>
    <x v="2"/>
    <x v="2"/>
    <x v="1"/>
    <x v="0"/>
    <x v="0"/>
    <x v="3"/>
    <x v="0"/>
    <x v="0"/>
    <s v="Mountain-200 Black, 46"/>
    <n v="1"/>
    <x v="0"/>
    <x v="0"/>
    <x v="5"/>
    <n v="1252"/>
    <n v="2295"/>
  </r>
  <r>
    <x v="5"/>
    <x v="2"/>
    <x v="2"/>
    <x v="1"/>
    <x v="0"/>
    <x v="0"/>
    <x v="3"/>
    <x v="0"/>
    <x v="0"/>
    <s v="Mountain-200 Black, 46"/>
    <n v="1"/>
    <x v="0"/>
    <x v="0"/>
    <x v="5"/>
    <n v="1252"/>
    <n v="2295"/>
  </r>
  <r>
    <x v="6"/>
    <x v="3"/>
    <x v="3"/>
    <x v="0"/>
    <x v="1"/>
    <x v="2"/>
    <x v="2"/>
    <x v="0"/>
    <x v="0"/>
    <s v="Mountain-400-W Silver, 42"/>
    <n v="4"/>
    <x v="2"/>
    <x v="3"/>
    <x v="6"/>
    <n v="1680"/>
    <n v="0"/>
  </r>
  <r>
    <x v="7"/>
    <x v="4"/>
    <x v="0"/>
    <x v="0"/>
    <x v="0"/>
    <x v="0"/>
    <x v="0"/>
    <x v="0"/>
    <x v="0"/>
    <s v="Mountain-200 Black, 46"/>
    <n v="4"/>
    <x v="0"/>
    <x v="0"/>
    <x v="0"/>
    <n v="5008"/>
    <n v="9180"/>
  </r>
  <r>
    <x v="8"/>
    <x v="4"/>
    <x v="5"/>
    <x v="0"/>
    <x v="0"/>
    <x v="2"/>
    <x v="4"/>
    <x v="0"/>
    <x v="0"/>
    <s v="Mountain-200 Silver, 38"/>
    <n v="1"/>
    <x v="1"/>
    <x v="1"/>
    <x v="1"/>
    <n v="1266"/>
    <n v="2320"/>
  </r>
  <r>
    <x v="9"/>
    <x v="4"/>
    <x v="2"/>
    <x v="0"/>
    <x v="0"/>
    <x v="0"/>
    <x v="0"/>
    <x v="0"/>
    <x v="0"/>
    <s v="Mountain-200 Black, 46"/>
    <n v="1"/>
    <x v="0"/>
    <x v="0"/>
    <x v="5"/>
    <n v="1252"/>
    <n v="2295"/>
  </r>
  <r>
    <x v="10"/>
    <x v="5"/>
    <x v="6"/>
    <x v="1"/>
    <x v="2"/>
    <x v="1"/>
    <x v="1"/>
    <x v="0"/>
    <x v="0"/>
    <s v="Mountain-400-W Silver, 46"/>
    <n v="3"/>
    <x v="2"/>
    <x v="2"/>
    <x v="7"/>
    <n v="1260"/>
    <n v="2307"/>
  </r>
  <r>
    <x v="11"/>
    <x v="5"/>
    <x v="7"/>
    <x v="1"/>
    <x v="1"/>
    <x v="3"/>
    <x v="5"/>
    <x v="0"/>
    <x v="0"/>
    <s v="Mountain-200 Black, 46"/>
    <n v="1"/>
    <x v="0"/>
    <x v="0"/>
    <x v="5"/>
    <n v="1252"/>
    <n v="2295"/>
  </r>
  <r>
    <x v="12"/>
    <x v="5"/>
    <x v="8"/>
    <x v="1"/>
    <x v="0"/>
    <x v="1"/>
    <x v="1"/>
    <x v="0"/>
    <x v="0"/>
    <s v="Mountain-200 Silver, 38"/>
    <n v="1"/>
    <x v="1"/>
    <x v="1"/>
    <x v="1"/>
    <n v="1266"/>
    <n v="2320"/>
  </r>
  <r>
    <x v="13"/>
    <x v="6"/>
    <x v="9"/>
    <x v="1"/>
    <x v="1"/>
    <x v="0"/>
    <x v="0"/>
    <x v="0"/>
    <x v="0"/>
    <s v="Mountain-400-W Silver, 38"/>
    <n v="4"/>
    <x v="2"/>
    <x v="2"/>
    <x v="6"/>
    <n v="1680"/>
    <n v="3076"/>
  </r>
  <r>
    <x v="14"/>
    <x v="6"/>
    <x v="10"/>
    <x v="1"/>
    <x v="0"/>
    <x v="0"/>
    <x v="0"/>
    <x v="0"/>
    <x v="0"/>
    <s v="Mountain-200 Silver, 42"/>
    <n v="2"/>
    <x v="1"/>
    <x v="1"/>
    <x v="8"/>
    <n v="2532"/>
    <n v="4640"/>
  </r>
  <r>
    <x v="15"/>
    <x v="7"/>
    <x v="11"/>
    <x v="0"/>
    <x v="2"/>
    <x v="2"/>
    <x v="2"/>
    <x v="0"/>
    <x v="0"/>
    <s v="Mountain-500 Silver, 42"/>
    <n v="4"/>
    <x v="4"/>
    <x v="4"/>
    <x v="9"/>
    <n v="1232"/>
    <n v="2260"/>
  </r>
  <r>
    <x v="16"/>
    <x v="7"/>
    <x v="9"/>
    <x v="0"/>
    <x v="1"/>
    <x v="3"/>
    <x v="5"/>
    <x v="0"/>
    <x v="0"/>
    <s v="Mountain-200 Silver, 38"/>
    <n v="4"/>
    <x v="1"/>
    <x v="1"/>
    <x v="10"/>
    <n v="5064"/>
    <n v="9280"/>
  </r>
  <r>
    <x v="17"/>
    <x v="8"/>
    <x v="12"/>
    <x v="0"/>
    <x v="1"/>
    <x v="2"/>
    <x v="6"/>
    <x v="0"/>
    <x v="0"/>
    <s v="Mountain-100 Black, 38"/>
    <n v="2"/>
    <x v="5"/>
    <x v="5"/>
    <x v="11"/>
    <n v="3796"/>
    <n v="6750"/>
  </r>
  <r>
    <x v="18"/>
    <x v="8"/>
    <x v="13"/>
    <x v="0"/>
    <x v="0"/>
    <x v="4"/>
    <x v="7"/>
    <x v="0"/>
    <x v="0"/>
    <s v="Mountain-200 Silver, 42"/>
    <n v="1"/>
    <x v="1"/>
    <x v="1"/>
    <x v="1"/>
    <n v="1266"/>
    <n v="2320"/>
  </r>
  <r>
    <x v="19"/>
    <x v="9"/>
    <x v="14"/>
    <x v="0"/>
    <x v="0"/>
    <x v="0"/>
    <x v="0"/>
    <x v="0"/>
    <x v="0"/>
    <s v="Mountain-200 Black, 42"/>
    <n v="2"/>
    <x v="0"/>
    <x v="0"/>
    <x v="4"/>
    <n v="2504"/>
    <n v="4590"/>
  </r>
  <r>
    <x v="20"/>
    <x v="9"/>
    <x v="15"/>
    <x v="1"/>
    <x v="0"/>
    <x v="2"/>
    <x v="2"/>
    <x v="0"/>
    <x v="0"/>
    <s v="Mountain-200 Black, 42"/>
    <n v="2"/>
    <x v="0"/>
    <x v="0"/>
    <x v="4"/>
    <n v="2504"/>
    <n v="4590"/>
  </r>
  <r>
    <x v="21"/>
    <x v="9"/>
    <x v="16"/>
    <x v="1"/>
    <x v="1"/>
    <x v="1"/>
    <x v="1"/>
    <x v="0"/>
    <x v="0"/>
    <s v="Mountain-200 Black, 38"/>
    <n v="1"/>
    <x v="0"/>
    <x v="0"/>
    <x v="5"/>
    <n v="1252"/>
    <n v="2295"/>
  </r>
  <r>
    <x v="22"/>
    <x v="9"/>
    <x v="14"/>
    <x v="1"/>
    <x v="0"/>
    <x v="0"/>
    <x v="0"/>
    <x v="0"/>
    <x v="0"/>
    <s v="Mountain-500 Black, 40"/>
    <n v="1"/>
    <x v="6"/>
    <x v="6"/>
    <x v="12"/>
    <n v="295"/>
    <n v="540"/>
  </r>
  <r>
    <x v="23"/>
    <x v="9"/>
    <x v="14"/>
    <x v="0"/>
    <x v="0"/>
    <x v="0"/>
    <x v="3"/>
    <x v="0"/>
    <x v="0"/>
    <s v="Mountain-100 Silver, 44"/>
    <n v="1"/>
    <x v="7"/>
    <x v="7"/>
    <x v="13"/>
    <n v="1912"/>
    <n v="3400"/>
  </r>
  <r>
    <x v="24"/>
    <x v="9"/>
    <x v="10"/>
    <x v="1"/>
    <x v="0"/>
    <x v="2"/>
    <x v="2"/>
    <x v="0"/>
    <x v="0"/>
    <s v="Mountain-200 Black, 38"/>
    <n v="1"/>
    <x v="0"/>
    <x v="0"/>
    <x v="5"/>
    <n v="1252"/>
    <n v="2295"/>
  </r>
  <r>
    <x v="25"/>
    <x v="10"/>
    <x v="4"/>
    <x v="0"/>
    <x v="2"/>
    <x v="5"/>
    <x v="8"/>
    <x v="0"/>
    <x v="0"/>
    <s v="Mountain-200 Black, 38"/>
    <n v="3"/>
    <x v="0"/>
    <x v="0"/>
    <x v="14"/>
    <n v="3756"/>
    <n v="6885"/>
  </r>
  <r>
    <x v="26"/>
    <x v="10"/>
    <x v="13"/>
    <x v="0"/>
    <x v="0"/>
    <x v="2"/>
    <x v="2"/>
    <x v="0"/>
    <x v="0"/>
    <s v="Mountain-400-W Silver, 38"/>
    <n v="2"/>
    <x v="2"/>
    <x v="2"/>
    <x v="2"/>
    <n v="840"/>
    <n v="1538"/>
  </r>
  <r>
    <x v="27"/>
    <x v="10"/>
    <x v="7"/>
    <x v="1"/>
    <x v="1"/>
    <x v="3"/>
    <x v="5"/>
    <x v="0"/>
    <x v="0"/>
    <s v="Mountain-200 Black, 46"/>
    <n v="1"/>
    <x v="0"/>
    <x v="0"/>
    <x v="5"/>
    <n v="1252"/>
    <n v="2295"/>
  </r>
  <r>
    <x v="28"/>
    <x v="10"/>
    <x v="2"/>
    <x v="1"/>
    <x v="0"/>
    <x v="0"/>
    <x v="0"/>
    <x v="0"/>
    <x v="0"/>
    <s v="Mountain-400-W Silver, 46"/>
    <n v="1"/>
    <x v="2"/>
    <x v="2"/>
    <x v="3"/>
    <n v="420"/>
    <n v="769"/>
  </r>
  <r>
    <x v="29"/>
    <x v="10"/>
    <x v="10"/>
    <x v="0"/>
    <x v="0"/>
    <x v="0"/>
    <x v="0"/>
    <x v="0"/>
    <x v="0"/>
    <s v="Mountain-200 Silver, 38"/>
    <n v="1"/>
    <x v="1"/>
    <x v="1"/>
    <x v="1"/>
    <n v="1266"/>
    <n v="2320"/>
  </r>
  <r>
    <x v="30"/>
    <x v="11"/>
    <x v="17"/>
    <x v="0"/>
    <x v="0"/>
    <x v="2"/>
    <x v="2"/>
    <x v="0"/>
    <x v="0"/>
    <s v="Mountain-200 Silver, 42"/>
    <n v="4"/>
    <x v="1"/>
    <x v="1"/>
    <x v="10"/>
    <n v="5064"/>
    <n v="9280"/>
  </r>
  <r>
    <x v="31"/>
    <x v="11"/>
    <x v="2"/>
    <x v="1"/>
    <x v="0"/>
    <x v="0"/>
    <x v="0"/>
    <x v="0"/>
    <x v="0"/>
    <s v="Mountain-400-W Silver, 46"/>
    <n v="4"/>
    <x v="2"/>
    <x v="2"/>
    <x v="6"/>
    <n v="1680"/>
    <n v="3076"/>
  </r>
  <r>
    <x v="32"/>
    <x v="11"/>
    <x v="14"/>
    <x v="1"/>
    <x v="0"/>
    <x v="2"/>
    <x v="2"/>
    <x v="0"/>
    <x v="0"/>
    <s v="Mountain-200 Black, 38"/>
    <n v="2"/>
    <x v="0"/>
    <x v="0"/>
    <x v="4"/>
    <n v="2504"/>
    <n v="4590"/>
  </r>
  <r>
    <x v="33"/>
    <x v="11"/>
    <x v="5"/>
    <x v="0"/>
    <x v="0"/>
    <x v="2"/>
    <x v="6"/>
    <x v="0"/>
    <x v="0"/>
    <s v="Mountain-200 Silver, 42"/>
    <n v="1"/>
    <x v="1"/>
    <x v="1"/>
    <x v="1"/>
    <n v="1266"/>
    <n v="2320"/>
  </r>
  <r>
    <x v="34"/>
    <x v="11"/>
    <x v="10"/>
    <x v="0"/>
    <x v="0"/>
    <x v="0"/>
    <x v="3"/>
    <x v="0"/>
    <x v="0"/>
    <s v="Mountain-200 Silver, 42"/>
    <n v="1"/>
    <x v="1"/>
    <x v="1"/>
    <x v="1"/>
    <n v="1266"/>
    <n v="2320"/>
  </r>
  <r>
    <x v="35"/>
    <x v="12"/>
    <x v="18"/>
    <x v="0"/>
    <x v="1"/>
    <x v="2"/>
    <x v="4"/>
    <x v="0"/>
    <x v="0"/>
    <s v="Mountain-200 Silver, 42"/>
    <n v="3"/>
    <x v="1"/>
    <x v="1"/>
    <x v="15"/>
    <n v="3798"/>
    <n v="6960"/>
  </r>
  <r>
    <x v="36"/>
    <x v="12"/>
    <x v="15"/>
    <x v="0"/>
    <x v="0"/>
    <x v="0"/>
    <x v="0"/>
    <x v="0"/>
    <x v="0"/>
    <s v="Mountain-500 Silver, 40"/>
    <n v="1"/>
    <x v="4"/>
    <x v="4"/>
    <x v="16"/>
    <n v="308"/>
    <n v="565"/>
  </r>
  <r>
    <x v="37"/>
    <x v="12"/>
    <x v="1"/>
    <x v="0"/>
    <x v="0"/>
    <x v="1"/>
    <x v="1"/>
    <x v="0"/>
    <x v="0"/>
    <s v="Mountain-200 Black, 38"/>
    <n v="1"/>
    <x v="0"/>
    <x v="0"/>
    <x v="5"/>
    <n v="1252"/>
    <n v="2295"/>
  </r>
  <r>
    <x v="38"/>
    <x v="12"/>
    <x v="19"/>
    <x v="1"/>
    <x v="0"/>
    <x v="1"/>
    <x v="1"/>
    <x v="0"/>
    <x v="0"/>
    <s v="Mountain-200 Black, 38"/>
    <n v="1"/>
    <x v="0"/>
    <x v="0"/>
    <x v="5"/>
    <n v="1252"/>
    <n v="2295"/>
  </r>
  <r>
    <x v="39"/>
    <x v="13"/>
    <x v="9"/>
    <x v="0"/>
    <x v="1"/>
    <x v="0"/>
    <x v="3"/>
    <x v="0"/>
    <x v="0"/>
    <s v="Mountain-200 Silver, 38"/>
    <n v="2"/>
    <x v="1"/>
    <x v="1"/>
    <x v="8"/>
    <n v="2532"/>
    <n v="4640"/>
  </r>
  <r>
    <x v="40"/>
    <x v="13"/>
    <x v="18"/>
    <x v="1"/>
    <x v="1"/>
    <x v="0"/>
    <x v="0"/>
    <x v="0"/>
    <x v="0"/>
    <s v="Mountain-200 Black, 46"/>
    <n v="1"/>
    <x v="0"/>
    <x v="0"/>
    <x v="5"/>
    <n v="1252"/>
    <n v="2295"/>
  </r>
  <r>
    <x v="41"/>
    <x v="13"/>
    <x v="18"/>
    <x v="0"/>
    <x v="1"/>
    <x v="2"/>
    <x v="6"/>
    <x v="0"/>
    <x v="0"/>
    <s v="Mountain-400-W Silver, 46"/>
    <n v="1"/>
    <x v="2"/>
    <x v="2"/>
    <x v="3"/>
    <n v="420"/>
    <n v="769"/>
  </r>
  <r>
    <x v="42"/>
    <x v="14"/>
    <x v="20"/>
    <x v="0"/>
    <x v="1"/>
    <x v="0"/>
    <x v="0"/>
    <x v="0"/>
    <x v="0"/>
    <s v="Mountain-200 Silver, 42"/>
    <n v="1"/>
    <x v="1"/>
    <x v="1"/>
    <x v="1"/>
    <n v="1266"/>
    <n v="2320"/>
  </r>
  <r>
    <x v="43"/>
    <x v="15"/>
    <x v="12"/>
    <x v="0"/>
    <x v="1"/>
    <x v="2"/>
    <x v="2"/>
    <x v="0"/>
    <x v="0"/>
    <s v="Mountain-200 Black, 38"/>
    <n v="2"/>
    <x v="0"/>
    <x v="0"/>
    <x v="4"/>
    <n v="2504"/>
    <n v="4590"/>
  </r>
  <r>
    <x v="44"/>
    <x v="15"/>
    <x v="10"/>
    <x v="1"/>
    <x v="0"/>
    <x v="2"/>
    <x v="2"/>
    <x v="0"/>
    <x v="0"/>
    <s v="Mountain-200 Black, 38"/>
    <n v="2"/>
    <x v="0"/>
    <x v="0"/>
    <x v="4"/>
    <n v="2504"/>
    <n v="4590"/>
  </r>
  <r>
    <x v="45"/>
    <x v="15"/>
    <x v="7"/>
    <x v="0"/>
    <x v="1"/>
    <x v="5"/>
    <x v="9"/>
    <x v="0"/>
    <x v="0"/>
    <s v="Mountain-200 Silver, 46"/>
    <n v="1"/>
    <x v="1"/>
    <x v="1"/>
    <x v="1"/>
    <n v="1266"/>
    <n v="2320"/>
  </r>
  <r>
    <x v="46"/>
    <x v="16"/>
    <x v="2"/>
    <x v="0"/>
    <x v="0"/>
    <x v="0"/>
    <x v="3"/>
    <x v="0"/>
    <x v="0"/>
    <s v="Mountain-200 Silver, 38"/>
    <n v="2"/>
    <x v="1"/>
    <x v="1"/>
    <x v="8"/>
    <n v="2532"/>
    <n v="4640"/>
  </r>
  <r>
    <x v="47"/>
    <x v="16"/>
    <x v="3"/>
    <x v="1"/>
    <x v="1"/>
    <x v="2"/>
    <x v="2"/>
    <x v="0"/>
    <x v="0"/>
    <s v="Mountain-400-W Silver, 42"/>
    <n v="1"/>
    <x v="2"/>
    <x v="2"/>
    <x v="3"/>
    <n v="420"/>
    <n v="769"/>
  </r>
  <r>
    <x v="48"/>
    <x v="16"/>
    <x v="21"/>
    <x v="0"/>
    <x v="0"/>
    <x v="4"/>
    <x v="10"/>
    <x v="0"/>
    <x v="0"/>
    <s v="Mountain-200 Silver, 46"/>
    <n v="1"/>
    <x v="1"/>
    <x v="1"/>
    <x v="1"/>
    <n v="1266"/>
    <n v="2320"/>
  </r>
  <r>
    <x v="49"/>
    <x v="17"/>
    <x v="5"/>
    <x v="0"/>
    <x v="0"/>
    <x v="2"/>
    <x v="2"/>
    <x v="0"/>
    <x v="0"/>
    <s v="Mountain-500 Silver, 42"/>
    <n v="4"/>
    <x v="4"/>
    <x v="4"/>
    <x v="9"/>
    <n v="1232"/>
    <n v="2260"/>
  </r>
  <r>
    <x v="50"/>
    <x v="17"/>
    <x v="10"/>
    <x v="0"/>
    <x v="0"/>
    <x v="4"/>
    <x v="10"/>
    <x v="0"/>
    <x v="0"/>
    <s v="Mountain-200 Silver, 46"/>
    <n v="4"/>
    <x v="1"/>
    <x v="1"/>
    <x v="10"/>
    <n v="5064"/>
    <n v="9280"/>
  </r>
  <r>
    <x v="51"/>
    <x v="17"/>
    <x v="4"/>
    <x v="0"/>
    <x v="2"/>
    <x v="5"/>
    <x v="11"/>
    <x v="0"/>
    <x v="0"/>
    <s v="Mountain-200 Silver, 38"/>
    <n v="3"/>
    <x v="1"/>
    <x v="1"/>
    <x v="15"/>
    <n v="3798"/>
    <n v="6960"/>
  </r>
  <r>
    <x v="52"/>
    <x v="17"/>
    <x v="16"/>
    <x v="0"/>
    <x v="1"/>
    <x v="1"/>
    <x v="1"/>
    <x v="0"/>
    <x v="0"/>
    <s v="Mountain-400-W Silver, 42"/>
    <n v="3"/>
    <x v="2"/>
    <x v="2"/>
    <x v="7"/>
    <n v="1260"/>
    <n v="2307"/>
  </r>
  <r>
    <x v="53"/>
    <x v="17"/>
    <x v="0"/>
    <x v="1"/>
    <x v="0"/>
    <x v="0"/>
    <x v="0"/>
    <x v="0"/>
    <x v="0"/>
    <s v="Mountain-200 Black, 42"/>
    <n v="3"/>
    <x v="0"/>
    <x v="0"/>
    <x v="14"/>
    <n v="3756"/>
    <n v="6885"/>
  </r>
  <r>
    <x v="54"/>
    <x v="17"/>
    <x v="16"/>
    <x v="1"/>
    <x v="1"/>
    <x v="5"/>
    <x v="8"/>
    <x v="0"/>
    <x v="0"/>
    <s v="Mountain-200 Black, 46"/>
    <n v="1"/>
    <x v="0"/>
    <x v="0"/>
    <x v="5"/>
    <n v="1252"/>
    <n v="2295"/>
  </r>
  <r>
    <x v="55"/>
    <x v="17"/>
    <x v="17"/>
    <x v="1"/>
    <x v="0"/>
    <x v="0"/>
    <x v="3"/>
    <x v="0"/>
    <x v="0"/>
    <s v="Mountain-200 Silver, 38"/>
    <n v="1"/>
    <x v="1"/>
    <x v="1"/>
    <x v="1"/>
    <n v="1266"/>
    <n v="2320"/>
  </r>
  <r>
    <x v="56"/>
    <x v="18"/>
    <x v="22"/>
    <x v="1"/>
    <x v="2"/>
    <x v="5"/>
    <x v="12"/>
    <x v="0"/>
    <x v="0"/>
    <s v="Mountain-200 Silver, 46"/>
    <n v="4"/>
    <x v="1"/>
    <x v="1"/>
    <x v="10"/>
    <n v="5064"/>
    <n v="9280"/>
  </r>
  <r>
    <x v="57"/>
    <x v="18"/>
    <x v="11"/>
    <x v="0"/>
    <x v="2"/>
    <x v="2"/>
    <x v="6"/>
    <x v="0"/>
    <x v="0"/>
    <s v="Mountain-500 Black, 44"/>
    <n v="4"/>
    <x v="6"/>
    <x v="6"/>
    <x v="17"/>
    <n v="1180"/>
    <n v="2160"/>
  </r>
  <r>
    <x v="58"/>
    <x v="18"/>
    <x v="23"/>
    <x v="1"/>
    <x v="1"/>
    <x v="5"/>
    <x v="8"/>
    <x v="0"/>
    <x v="0"/>
    <s v="Mountain-200 Black, 38"/>
    <n v="4"/>
    <x v="0"/>
    <x v="0"/>
    <x v="0"/>
    <n v="5008"/>
    <n v="9180"/>
  </r>
  <r>
    <x v="59"/>
    <x v="18"/>
    <x v="5"/>
    <x v="0"/>
    <x v="0"/>
    <x v="0"/>
    <x v="13"/>
    <x v="0"/>
    <x v="0"/>
    <s v="Mountain-100 Black, 48"/>
    <n v="4"/>
    <x v="5"/>
    <x v="5"/>
    <x v="18"/>
    <n v="7592"/>
    <n v="13500"/>
  </r>
  <r>
    <x v="60"/>
    <x v="18"/>
    <x v="2"/>
    <x v="1"/>
    <x v="0"/>
    <x v="0"/>
    <x v="13"/>
    <x v="0"/>
    <x v="0"/>
    <s v="Mountain-200 Black, 38"/>
    <n v="4"/>
    <x v="0"/>
    <x v="0"/>
    <x v="0"/>
    <n v="5008"/>
    <n v="9180"/>
  </r>
  <r>
    <x v="61"/>
    <x v="18"/>
    <x v="0"/>
    <x v="0"/>
    <x v="0"/>
    <x v="0"/>
    <x v="0"/>
    <x v="0"/>
    <x v="0"/>
    <s v="Mountain-200 Black, 46"/>
    <n v="4"/>
    <x v="0"/>
    <x v="0"/>
    <x v="0"/>
    <n v="5008"/>
    <n v="9180"/>
  </r>
  <r>
    <x v="62"/>
    <x v="18"/>
    <x v="24"/>
    <x v="0"/>
    <x v="0"/>
    <x v="2"/>
    <x v="4"/>
    <x v="0"/>
    <x v="0"/>
    <s v="Mountain-200 Black, 46"/>
    <n v="4"/>
    <x v="0"/>
    <x v="0"/>
    <x v="0"/>
    <n v="5008"/>
    <n v="9180"/>
  </r>
  <r>
    <x v="63"/>
    <x v="18"/>
    <x v="25"/>
    <x v="1"/>
    <x v="2"/>
    <x v="2"/>
    <x v="14"/>
    <x v="0"/>
    <x v="0"/>
    <s v="Mountain-500 Black, 40"/>
    <n v="2"/>
    <x v="6"/>
    <x v="6"/>
    <x v="19"/>
    <n v="590"/>
    <n v="1080"/>
  </r>
  <r>
    <x v="64"/>
    <x v="18"/>
    <x v="26"/>
    <x v="0"/>
    <x v="0"/>
    <x v="4"/>
    <x v="15"/>
    <x v="0"/>
    <x v="0"/>
    <s v="Mountain-200 Black, 46"/>
    <n v="2"/>
    <x v="0"/>
    <x v="0"/>
    <x v="4"/>
    <n v="2504"/>
    <n v="4590"/>
  </r>
  <r>
    <x v="65"/>
    <x v="18"/>
    <x v="0"/>
    <x v="0"/>
    <x v="0"/>
    <x v="0"/>
    <x v="3"/>
    <x v="0"/>
    <x v="0"/>
    <s v="Mountain-200 Silver, 38"/>
    <n v="1"/>
    <x v="1"/>
    <x v="1"/>
    <x v="1"/>
    <n v="1266"/>
    <n v="2320"/>
  </r>
  <r>
    <x v="66"/>
    <x v="19"/>
    <x v="12"/>
    <x v="0"/>
    <x v="1"/>
    <x v="2"/>
    <x v="6"/>
    <x v="0"/>
    <x v="0"/>
    <s v="Mountain-100 Black, 38"/>
    <n v="4"/>
    <x v="5"/>
    <x v="5"/>
    <x v="18"/>
    <n v="7592"/>
    <n v="13500"/>
  </r>
  <r>
    <x v="67"/>
    <x v="19"/>
    <x v="27"/>
    <x v="1"/>
    <x v="0"/>
    <x v="2"/>
    <x v="4"/>
    <x v="0"/>
    <x v="0"/>
    <s v="Mountain-200 Black, 46"/>
    <n v="4"/>
    <x v="0"/>
    <x v="0"/>
    <x v="0"/>
    <n v="5008"/>
    <n v="9180"/>
  </r>
  <r>
    <x v="68"/>
    <x v="19"/>
    <x v="20"/>
    <x v="1"/>
    <x v="1"/>
    <x v="3"/>
    <x v="5"/>
    <x v="0"/>
    <x v="0"/>
    <s v="Mountain-500 Black, 52"/>
    <n v="3"/>
    <x v="6"/>
    <x v="6"/>
    <x v="20"/>
    <n v="885"/>
    <n v="1620"/>
  </r>
  <r>
    <x v="69"/>
    <x v="19"/>
    <x v="5"/>
    <x v="0"/>
    <x v="0"/>
    <x v="2"/>
    <x v="4"/>
    <x v="0"/>
    <x v="0"/>
    <s v="Mountain-200 Silver, 38"/>
    <n v="1"/>
    <x v="1"/>
    <x v="1"/>
    <x v="1"/>
    <n v="1266"/>
    <n v="2320"/>
  </r>
  <r>
    <x v="70"/>
    <x v="19"/>
    <x v="5"/>
    <x v="1"/>
    <x v="0"/>
    <x v="2"/>
    <x v="6"/>
    <x v="0"/>
    <x v="0"/>
    <s v="Mountain-200 Silver, 38"/>
    <n v="1"/>
    <x v="1"/>
    <x v="1"/>
    <x v="1"/>
    <n v="1266"/>
    <n v="2320"/>
  </r>
  <r>
    <x v="71"/>
    <x v="20"/>
    <x v="16"/>
    <x v="1"/>
    <x v="1"/>
    <x v="5"/>
    <x v="16"/>
    <x v="0"/>
    <x v="0"/>
    <s v="Mountain-200 Silver, 38"/>
    <n v="3"/>
    <x v="1"/>
    <x v="1"/>
    <x v="15"/>
    <n v="3798"/>
    <n v="6960"/>
  </r>
  <r>
    <x v="72"/>
    <x v="20"/>
    <x v="6"/>
    <x v="1"/>
    <x v="2"/>
    <x v="1"/>
    <x v="1"/>
    <x v="0"/>
    <x v="0"/>
    <s v="Mountain-400-W Silver, 46"/>
    <n v="2"/>
    <x v="2"/>
    <x v="2"/>
    <x v="2"/>
    <n v="840"/>
    <n v="1538"/>
  </r>
  <r>
    <x v="73"/>
    <x v="21"/>
    <x v="9"/>
    <x v="0"/>
    <x v="1"/>
    <x v="0"/>
    <x v="3"/>
    <x v="0"/>
    <x v="0"/>
    <s v="Mountain-200 Silver, 38"/>
    <n v="3"/>
    <x v="1"/>
    <x v="1"/>
    <x v="15"/>
    <n v="3798"/>
    <n v="6960"/>
  </r>
  <r>
    <x v="74"/>
    <x v="21"/>
    <x v="13"/>
    <x v="1"/>
    <x v="0"/>
    <x v="0"/>
    <x v="0"/>
    <x v="0"/>
    <x v="0"/>
    <s v="Mountain-200 Black, 42"/>
    <n v="3"/>
    <x v="0"/>
    <x v="0"/>
    <x v="14"/>
    <n v="3756"/>
    <n v="6885"/>
  </r>
  <r>
    <x v="75"/>
    <x v="21"/>
    <x v="11"/>
    <x v="0"/>
    <x v="2"/>
    <x v="2"/>
    <x v="2"/>
    <x v="0"/>
    <x v="0"/>
    <s v="Mountain-500 Silver, 42"/>
    <n v="1"/>
    <x v="4"/>
    <x v="4"/>
    <x v="16"/>
    <n v="308"/>
    <n v="565"/>
  </r>
  <r>
    <x v="76"/>
    <x v="21"/>
    <x v="23"/>
    <x v="1"/>
    <x v="1"/>
    <x v="5"/>
    <x v="8"/>
    <x v="0"/>
    <x v="0"/>
    <s v="Mountain-200 Black, 38"/>
    <n v="1"/>
    <x v="0"/>
    <x v="0"/>
    <x v="5"/>
    <n v="1252"/>
    <n v="2295"/>
  </r>
  <r>
    <x v="77"/>
    <x v="21"/>
    <x v="7"/>
    <x v="0"/>
    <x v="1"/>
    <x v="3"/>
    <x v="5"/>
    <x v="0"/>
    <x v="0"/>
    <s v="Mountain-200 Black, 46"/>
    <n v="1"/>
    <x v="0"/>
    <x v="0"/>
    <x v="5"/>
    <n v="1252"/>
    <n v="2295"/>
  </r>
  <r>
    <x v="78"/>
    <x v="21"/>
    <x v="13"/>
    <x v="1"/>
    <x v="0"/>
    <x v="4"/>
    <x v="15"/>
    <x v="0"/>
    <x v="0"/>
    <s v="Mountain-200 Silver, 38"/>
    <n v="1"/>
    <x v="1"/>
    <x v="1"/>
    <x v="1"/>
    <n v="1266"/>
    <n v="2320"/>
  </r>
  <r>
    <x v="79"/>
    <x v="22"/>
    <x v="9"/>
    <x v="0"/>
    <x v="1"/>
    <x v="0"/>
    <x v="13"/>
    <x v="0"/>
    <x v="0"/>
    <s v="Mountain-200 Silver, 42"/>
    <n v="1"/>
    <x v="1"/>
    <x v="1"/>
    <x v="1"/>
    <n v="1266"/>
    <n v="2320"/>
  </r>
  <r>
    <x v="80"/>
    <x v="22"/>
    <x v="3"/>
    <x v="0"/>
    <x v="1"/>
    <x v="3"/>
    <x v="5"/>
    <x v="0"/>
    <x v="0"/>
    <s v="Mountain-200 Black, 42"/>
    <n v="1"/>
    <x v="0"/>
    <x v="0"/>
    <x v="5"/>
    <n v="1252"/>
    <n v="2295"/>
  </r>
  <r>
    <x v="81"/>
    <x v="22"/>
    <x v="5"/>
    <x v="0"/>
    <x v="0"/>
    <x v="0"/>
    <x v="0"/>
    <x v="0"/>
    <x v="0"/>
    <s v="Mountain-500 Black, 42"/>
    <n v="1"/>
    <x v="6"/>
    <x v="6"/>
    <x v="12"/>
    <n v="295"/>
    <n v="540"/>
  </r>
  <r>
    <x v="82"/>
    <x v="23"/>
    <x v="10"/>
    <x v="1"/>
    <x v="0"/>
    <x v="2"/>
    <x v="4"/>
    <x v="0"/>
    <x v="0"/>
    <s v="Mountain-200 Black, 42"/>
    <n v="4"/>
    <x v="0"/>
    <x v="0"/>
    <x v="0"/>
    <n v="5008"/>
    <n v="9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D5A615-29F1-485C-9A46-1D548F2C799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D9:E34" firstHeaderRow="1" firstDataRow="1" firstDataCol="1"/>
  <pivotFields count="16">
    <pivotField showAll="0"/>
    <pivotField axis="axisRow"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items count="4">
        <item x="0"/>
        <item x="1"/>
        <item x="2"/>
        <item t="default"/>
      </items>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dataField="1" numFmtId="164"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5"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E88EE-83A3-4430-84C0-BB13ADC120EF}"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I3:J7" firstHeaderRow="1" firstDataRow="1" firstDataCol="1"/>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dataField="1" numFmtId="164" showAll="0"/>
  </pivotFields>
  <rowFields count="1">
    <field x="4"/>
  </rowFields>
  <rowItems count="4">
    <i>
      <x/>
    </i>
    <i>
      <x v="1"/>
    </i>
    <i>
      <x v="2"/>
    </i>
    <i t="grand">
      <x/>
    </i>
  </rowItems>
  <colItems count="1">
    <i/>
  </colItems>
  <dataFields count="1">
    <dataField name="Sum of Revenue" fld="15" baseField="0" baseItem="0"/>
  </dataFields>
  <chartFormats count="4">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4" count="1" selected="0">
            <x v="0"/>
          </reference>
        </references>
      </pivotArea>
    </chartFormat>
    <chartFormat chart="15" format="7">
      <pivotArea type="data" outline="0" fieldPosition="0">
        <references count="2">
          <reference field="4294967294" count="1" selected="0">
            <x v="0"/>
          </reference>
          <reference field="4" count="1" selected="0">
            <x v="1"/>
          </reference>
        </references>
      </pivotArea>
    </chartFormat>
    <chartFormat chart="15"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2C88F1-AB9E-4675-9083-3767E139BA89}"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G12:H19" firstHeaderRow="1" firstDataRow="1" firstDataCol="1"/>
  <pivotFields count="16">
    <pivotField dataFiel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items count="4">
        <item x="0"/>
        <item x="1"/>
        <item x="2"/>
        <item t="default"/>
      </items>
    </pivotField>
    <pivotField axis="axisRow" showAll="0" sortType="descending">
      <items count="7">
        <item x="2"/>
        <item x="3"/>
        <item x="5"/>
        <item x="4"/>
        <item x="1"/>
        <item x="0"/>
        <item t="default"/>
      </items>
      <autoSortScope>
        <pivotArea dataOnly="0" outline="0" fieldPosition="0">
          <references count="1">
            <reference field="4294967294" count="1" selected="0">
              <x v="0"/>
            </reference>
          </references>
        </pivotArea>
      </autoSortScope>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numFmtId="164" showAll="0"/>
  </pivotFields>
  <rowFields count="1">
    <field x="5"/>
  </rowFields>
  <rowItems count="7">
    <i>
      <x v="5"/>
    </i>
    <i>
      <x/>
    </i>
    <i>
      <x v="4"/>
    </i>
    <i>
      <x v="2"/>
    </i>
    <i>
      <x v="1"/>
    </i>
    <i>
      <x v="3"/>
    </i>
    <i t="grand">
      <x/>
    </i>
  </rowItems>
  <colItems count="1">
    <i/>
  </colItems>
  <dataFields count="1">
    <dataField name="Count of Sales_Order #" fld="0"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F8A55E-A47D-42AC-8181-80925FE5C7A4}"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J16:J17" firstHeaderRow="1" firstDataRow="1" firstDataCol="0"/>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29">
        <item x="22"/>
        <item x="25"/>
        <item x="11"/>
        <item x="6"/>
        <item x="4"/>
        <item x="23"/>
        <item x="16"/>
        <item x="7"/>
        <item x="20"/>
        <item x="9"/>
        <item x="3"/>
        <item x="18"/>
        <item x="12"/>
        <item x="14"/>
        <item x="5"/>
        <item x="17"/>
        <item x="2"/>
        <item x="10"/>
        <item x="0"/>
        <item x="15"/>
        <item x="13"/>
        <item x="21"/>
        <item x="1"/>
        <item x="8"/>
        <item x="19"/>
        <item x="26"/>
        <item x="27"/>
        <item x="24"/>
        <item t="default"/>
      </items>
    </pivotField>
    <pivotField showAll="0">
      <items count="3">
        <item x="0"/>
        <item x="1"/>
        <item t="default"/>
      </items>
    </pivotField>
    <pivotField showAll="0">
      <items count="4">
        <item x="0"/>
        <item x="1"/>
        <item x="2"/>
        <item t="default"/>
      </items>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numFmtId="164" showAll="0"/>
  </pivotFields>
  <rowItems count="1">
    <i/>
  </rowItems>
  <colItems count="1">
    <i/>
  </colItems>
  <dataFields count="1">
    <dataField name="Average of Customer_Age" fld="2" subtotal="average" baseField="0" baseItem="1151195696" numFmtId="1"/>
  </dataFields>
  <chartFormats count="1">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3225A-70D9-424A-8CBB-D5A39A90AE4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6:G7" firstHeaderRow="1" firstDataRow="1" firstDataCol="0"/>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items count="4">
        <item x="0"/>
        <item x="1"/>
        <item x="2"/>
        <item t="default"/>
      </items>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dataField="1"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numFmtId="164" showAll="0"/>
  </pivotFields>
  <rowItems count="1">
    <i/>
  </rowItems>
  <colItems count="1">
    <i/>
  </colItems>
  <dataFields count="1">
    <dataField name="Sum of  Profit " fld="13" baseField="0" baseItem="9" numFmtId="167"/>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88ECAD-A7CE-4C24-B714-6AE6D703AB5A}"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G26:H29" firstHeaderRow="1" firstDataRow="1" firstDataCol="1"/>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showAll="0">
      <items count="3">
        <item x="0"/>
        <item x="1"/>
        <item t="default"/>
      </items>
    </pivotField>
    <pivotField showAll="0">
      <items count="4">
        <item x="0"/>
        <item x="1"/>
        <item x="2"/>
        <item t="default"/>
      </items>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dataField="1" numFmtId="164" showAll="0"/>
  </pivotFields>
  <rowFields count="1">
    <field x="3"/>
  </rowFields>
  <rowItems count="3">
    <i>
      <x/>
    </i>
    <i>
      <x v="1"/>
    </i>
    <i t="grand">
      <x/>
    </i>
  </rowItems>
  <colItems count="1">
    <i/>
  </colItems>
  <dataFields count="1">
    <dataField name="Sum of Revenue" fld="15" baseField="3" baseItem="0" numFmtId="168"/>
  </dataFields>
  <chartFormats count="7">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3" count="1" selected="0">
            <x v="0"/>
          </reference>
        </references>
      </pivotArea>
    </chartFormat>
    <chartFormat chart="14" format="3">
      <pivotArea type="data" outline="0" fieldPosition="0">
        <references count="2">
          <reference field="4294967294" count="1" selected="0">
            <x v="0"/>
          </reference>
          <reference field="3"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3" count="1" selected="0">
            <x v="0"/>
          </reference>
        </references>
      </pivotArea>
    </chartFormat>
    <chartFormat chart="1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98A3C9-8D8F-49DD-9B27-677C30EE978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J19:J20" firstHeaderRow="1" firstDataRow="1" firstDataCol="0"/>
  <pivotFields count="16">
    <pivotField dataField="1"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29">
        <item x="22"/>
        <item x="25"/>
        <item x="11"/>
        <item x="6"/>
        <item x="4"/>
        <item x="23"/>
        <item x="16"/>
        <item x="7"/>
        <item x="20"/>
        <item x="9"/>
        <item x="3"/>
        <item x="18"/>
        <item x="12"/>
        <item x="14"/>
        <item x="5"/>
        <item x="17"/>
        <item x="2"/>
        <item x="10"/>
        <item x="0"/>
        <item x="15"/>
        <item x="13"/>
        <item x="21"/>
        <item x="1"/>
        <item x="8"/>
        <item x="19"/>
        <item x="26"/>
        <item x="27"/>
        <item x="24"/>
        <item t="default"/>
      </items>
    </pivotField>
    <pivotField showAll="0">
      <items count="3">
        <item x="0"/>
        <item x="1"/>
        <item t="default"/>
      </items>
    </pivotField>
    <pivotField showAll="0">
      <items count="4">
        <item x="0"/>
        <item x="1"/>
        <item x="2"/>
        <item t="default"/>
      </items>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numFmtId="164" showAll="0"/>
  </pivotFields>
  <rowItems count="1">
    <i/>
  </rowItems>
  <colItems count="1">
    <i/>
  </colItems>
  <dataFields count="1">
    <dataField name="Count of Sales_Order #"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72F4EA-05C2-439A-AA9D-CF4FB9C9C34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3:G4" firstHeaderRow="1" firstDataRow="1" firstDataCol="0"/>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items count="4">
        <item x="0"/>
        <item x="1"/>
        <item x="2"/>
        <item t="default"/>
      </items>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dataField="1" numFmtId="164" showAll="0"/>
  </pivotFields>
  <rowItems count="1">
    <i/>
  </rowItems>
  <colItems count="1">
    <i/>
  </colItems>
  <dataFields count="1">
    <dataField name="Sum of Revenue" fld="15" baseField="0" baseItem="9"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9A6A37-0877-457C-928E-32BF67647C23}"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I9:J13" firstHeaderRow="1" firstDataRow="1" firstDataCol="1"/>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axis="axisRow" showAll="0">
      <items count="4">
        <item x="0"/>
        <item x="1"/>
        <item x="2"/>
        <item t="default"/>
      </items>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dataField="1"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numFmtId="164" showAll="0"/>
  </pivotFields>
  <rowFields count="1">
    <field x="4"/>
  </rowFields>
  <rowItems count="4">
    <i>
      <x/>
    </i>
    <i>
      <x v="1"/>
    </i>
    <i>
      <x v="2"/>
    </i>
    <i t="grand">
      <x/>
    </i>
  </rowItems>
  <colItems count="1">
    <i/>
  </colItems>
  <dataFields count="1">
    <dataField name="Sum of Order_Quantity" fld="10" baseField="0" baseItem="0"/>
  </dataFields>
  <chartFormats count="4">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4" count="1" selected="0">
            <x v="0"/>
          </reference>
        </references>
      </pivotArea>
    </chartFormat>
    <chartFormat chart="18" format="7">
      <pivotArea type="data" outline="0" fieldPosition="0">
        <references count="2">
          <reference field="4294967294" count="1" selected="0">
            <x v="0"/>
          </reference>
          <reference field="4" count="1" selected="0">
            <x v="1"/>
          </reference>
        </references>
      </pivotArea>
    </chartFormat>
    <chartFormat chart="18"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DF0ECB-6484-40E9-949A-77752AEBC973}"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G23:I24" firstHeaderRow="0" firstDataRow="1" firstDataCol="0"/>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items count="4">
        <item x="0"/>
        <item x="1"/>
        <item x="2"/>
        <item t="default"/>
      </items>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dataField="1" numFmtId="164" showAll="0">
      <items count="22">
        <item x="12"/>
        <item x="16"/>
        <item x="3"/>
        <item x="19"/>
        <item x="2"/>
        <item x="20"/>
        <item x="17"/>
        <item x="9"/>
        <item x="5"/>
        <item x="7"/>
        <item x="1"/>
        <item x="6"/>
        <item x="13"/>
        <item x="4"/>
        <item x="8"/>
        <item x="11"/>
        <item x="14"/>
        <item x="15"/>
        <item x="0"/>
        <item x="10"/>
        <item x="18"/>
        <item t="default"/>
      </items>
    </pivotField>
    <pivotField dataField="1" numFmtId="164" showAll="0"/>
    <pivotField dataField="1" numFmtId="164" showAll="0"/>
  </pivotFields>
  <rowItems count="1">
    <i/>
  </rowItems>
  <colFields count="1">
    <field x="-2"/>
  </colFields>
  <colItems count="3">
    <i>
      <x/>
    </i>
    <i i="1">
      <x v="1"/>
    </i>
    <i i="2">
      <x v="2"/>
    </i>
  </colItems>
  <dataFields count="3">
    <dataField name="Sum of  Cost " fld="14" baseField="0" baseItem="0"/>
    <dataField name="Sum of  Profit " fld="13" baseField="0" baseItem="0"/>
    <dataField name="Sum of Revenue" fld="15" baseField="0" baseItem="0"/>
  </dataFields>
  <chartFormats count="8">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 chart="15" format="9">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212043-C81F-414C-9826-3D281662BDA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0" firstHeaderRow="1" firstDataRow="1" firstDataCol="1"/>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items count="4">
        <item x="0"/>
        <item x="1"/>
        <item x="2"/>
        <item t="default"/>
      </items>
    </pivotField>
    <pivotField axis="axisRow" showAll="0" sortType="ascending">
      <items count="7">
        <item x="2"/>
        <item x="3"/>
        <item x="5"/>
        <item x="4"/>
        <item x="1"/>
        <item x="0"/>
        <item t="default"/>
      </items>
      <autoSortScope>
        <pivotArea dataOnly="0" outline="0" fieldPosition="0">
          <references count="1">
            <reference field="4294967294" count="1" selected="0">
              <x v="0"/>
            </reference>
          </references>
        </pivotArea>
      </autoSortScope>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dataField="1" numFmtId="164" showAll="0"/>
  </pivotFields>
  <rowFields count="1">
    <field x="5"/>
  </rowFields>
  <rowItems count="7">
    <i>
      <x v="4"/>
    </i>
    <i>
      <x v="1"/>
    </i>
    <i>
      <x v="3"/>
    </i>
    <i>
      <x v="2"/>
    </i>
    <i>
      <x/>
    </i>
    <i>
      <x v="5"/>
    </i>
    <i t="grand">
      <x/>
    </i>
  </rowItems>
  <colItems count="1">
    <i/>
  </colItems>
  <dataFields count="1">
    <dataField name="Sum of Revenue" fld="15" baseField="5" baseItem="1" numFmtId="168"/>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D94D67-D1DF-4138-A012-77473E0D24A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3:B20" firstHeaderRow="1" firstDataRow="1" firstDataCol="1"/>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items count="4">
        <item x="0"/>
        <item x="1"/>
        <item x="2"/>
        <item t="default"/>
      </items>
    </pivotField>
    <pivotField showAll="0">
      <items count="7">
        <item x="2"/>
        <item x="3"/>
        <item x="5"/>
        <item x="4"/>
        <item x="1"/>
        <item x="0"/>
        <item t="default"/>
      </items>
    </pivotField>
    <pivotField axis="axisRow" showAll="0" measureFilter="1" sortType="ascending">
      <items count="18">
        <item x="5"/>
        <item x="0"/>
        <item x="1"/>
        <item x="7"/>
        <item x="15"/>
        <item x="2"/>
        <item x="12"/>
        <item x="10"/>
        <item x="13"/>
        <item x="4"/>
        <item x="8"/>
        <item x="9"/>
        <item x="11"/>
        <item x="16"/>
        <item x="14"/>
        <item x="6"/>
        <item x="3"/>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items count="2">
        <item x="0"/>
        <item t="default"/>
      </items>
    </pivotField>
    <pivotField showAll="0"/>
    <pivotField dataField="1"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numFmtId="164" showAll="0"/>
    <pivotField numFmtId="164" showAll="0"/>
  </pivotFields>
  <rowFields count="1">
    <field x="6"/>
  </rowFields>
  <rowItems count="7">
    <i>
      <x v="15"/>
    </i>
    <i>
      <x v="16"/>
    </i>
    <i>
      <x v="2"/>
    </i>
    <i>
      <x v="9"/>
    </i>
    <i>
      <x v="5"/>
    </i>
    <i>
      <x v="1"/>
    </i>
    <i t="grand">
      <x/>
    </i>
  </rowItems>
  <colItems count="1">
    <i/>
  </colItems>
  <dataFields count="1">
    <dataField name="Sum of Order_Quantity" fld="10"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50A543-2723-4BF4-9E11-406727AAE0B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9:G10" firstHeaderRow="1" firstDataRow="1" firstDataCol="0"/>
  <pivotFields count="16">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3">
        <item x="0"/>
        <item x="1"/>
        <item t="default"/>
      </items>
    </pivotField>
    <pivotField showAll="0">
      <items count="4">
        <item x="0"/>
        <item x="1"/>
        <item x="2"/>
        <item t="default"/>
      </items>
    </pivotField>
    <pivotField showAll="0">
      <items count="7">
        <item x="2"/>
        <item x="3"/>
        <item x="5"/>
        <item x="4"/>
        <item x="1"/>
        <item x="0"/>
        <item t="default"/>
      </items>
    </pivotField>
    <pivotField showAll="0">
      <items count="18">
        <item x="5"/>
        <item x="0"/>
        <item x="1"/>
        <item x="7"/>
        <item x="15"/>
        <item x="2"/>
        <item x="12"/>
        <item x="10"/>
        <item x="13"/>
        <item x="4"/>
        <item x="8"/>
        <item x="9"/>
        <item x="11"/>
        <item x="16"/>
        <item x="14"/>
        <item x="6"/>
        <item x="3"/>
        <item t="default"/>
      </items>
    </pivotField>
    <pivotField showAll="0">
      <items count="2">
        <item x="0"/>
        <item t="default"/>
      </items>
    </pivotField>
    <pivotField showAll="0">
      <items count="2">
        <item x="0"/>
        <item t="default"/>
      </items>
    </pivotField>
    <pivotField showAll="0"/>
    <pivotField showAll="0"/>
    <pivotField numFmtId="164" showAll="0">
      <items count="9">
        <item x="3"/>
        <item x="6"/>
        <item x="4"/>
        <item x="2"/>
        <item x="0"/>
        <item x="1"/>
        <item x="5"/>
        <item x="7"/>
        <item t="default"/>
      </items>
    </pivotField>
    <pivotField numFmtId="164" showAll="0">
      <items count="9">
        <item x="3"/>
        <item x="6"/>
        <item x="4"/>
        <item x="2"/>
        <item x="0"/>
        <item x="1"/>
        <item x="5"/>
        <item x="7"/>
        <item t="default"/>
      </items>
    </pivotField>
    <pivotField numFmtId="164" showAll="0">
      <items count="22">
        <item x="12"/>
        <item x="16"/>
        <item x="3"/>
        <item x="19"/>
        <item x="2"/>
        <item x="20"/>
        <item x="17"/>
        <item x="9"/>
        <item x="5"/>
        <item x="7"/>
        <item x="1"/>
        <item x="6"/>
        <item x="13"/>
        <item x="4"/>
        <item x="8"/>
        <item x="11"/>
        <item x="14"/>
        <item x="15"/>
        <item x="0"/>
        <item x="10"/>
        <item x="18"/>
        <item t="default"/>
      </items>
    </pivotField>
    <pivotField dataField="1" numFmtId="164" showAll="0"/>
    <pivotField numFmtId="164" showAll="0"/>
  </pivotFields>
  <rowItems count="1">
    <i/>
  </rowItems>
  <colItems count="1">
    <i/>
  </colItems>
  <dataFields count="1">
    <dataField name="Sum of  Cost " fld="14" baseField="0" baseItem="9" numFmtId="167"/>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D4A1AE-785C-41A8-B56A-85AE30C6BCDC}"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C6:D12" firstHeaderRow="1" firstDataRow="1" firstDataCol="1"/>
  <pivotFields count="16">
    <pivotField dataField="1" showAll="0"/>
    <pivotField numFmtId="14" showAll="0"/>
    <pivotField showAll="0"/>
    <pivotField showAll="0"/>
    <pivotField showAll="0"/>
    <pivotField showAll="0"/>
    <pivotField axis="axisRow" showAll="0" measureFilter="1" sortType="descending">
      <items count="18">
        <item x="5"/>
        <item x="0"/>
        <item x="1"/>
        <item x="7"/>
        <item x="15"/>
        <item x="2"/>
        <item x="12"/>
        <item x="10"/>
        <item x="13"/>
        <item x="4"/>
        <item x="8"/>
        <item x="9"/>
        <item x="11"/>
        <item x="16"/>
        <item x="14"/>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numFmtId="164" showAll="0"/>
    <pivotField numFmtId="164" showAll="0"/>
    <pivotField numFmtId="164" showAll="0"/>
  </pivotFields>
  <rowFields count="1">
    <field x="6"/>
  </rowFields>
  <rowItems count="6">
    <i>
      <x v="1"/>
    </i>
    <i>
      <x v="5"/>
    </i>
    <i>
      <x v="16"/>
    </i>
    <i>
      <x v="2"/>
    </i>
    <i>
      <x v="9"/>
    </i>
    <i t="grand">
      <x/>
    </i>
  </rowItems>
  <colItems count="1">
    <i/>
  </colItems>
  <dataFields count="1">
    <dataField name=" "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FEE070E-6FDB-4F1C-99A2-5ADAC2CD5EB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6">
    <pivotField showAll="0"/>
    <pivotField numFmtId="14" showAll="0"/>
    <pivotField showAll="0"/>
    <pivotField showAll="0"/>
    <pivotField showAll="0"/>
    <pivotField showAll="0"/>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s>
  <rowItems count="1">
    <i/>
  </rowItems>
  <colItems count="1">
    <i/>
  </colItems>
  <dataFields count="1">
    <dataField name="Total Quantity Ordered" fld="10" baseField="0" baseItem="3368597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4054DC-8C57-4660-8853-0C2EBA18DB7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F7:G14" firstHeaderRow="1" firstDataRow="1" firstDataCol="1"/>
  <pivotFields count="16">
    <pivotField dataField="1" showAll="0"/>
    <pivotField numFmtId="14" showAll="0"/>
    <pivotField showAll="0"/>
    <pivotField showAll="0"/>
    <pivotField showAll="0"/>
    <pivotField axis="axisRow" showAll="0" sortType="descending">
      <items count="7">
        <item x="0"/>
        <item x="1"/>
        <item x="4"/>
        <item x="5"/>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numFmtId="164" showAll="0"/>
    <pivotField numFmtId="164" showAll="0"/>
    <pivotField numFmtId="164" showAll="0"/>
    <pivotField numFmtId="164" showAll="0"/>
  </pivotFields>
  <rowFields count="1">
    <field x="5"/>
  </rowFields>
  <rowItems count="7">
    <i>
      <x/>
    </i>
    <i>
      <x v="5"/>
    </i>
    <i>
      <x v="1"/>
    </i>
    <i>
      <x v="3"/>
    </i>
    <i>
      <x v="4"/>
    </i>
    <i>
      <x v="2"/>
    </i>
    <i t="grand">
      <x/>
    </i>
  </rowItems>
  <colItems count="1">
    <i/>
  </colItems>
  <dataFields count="1">
    <dataField name="Top Sales Performance by Country" fld="0" baseField="5" baseItem="2"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C400185-673D-487C-A600-E7CAE0DD787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16">
    <pivotField showAll="0"/>
    <pivotField numFmtId="14"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s>
  <rowItems count="1">
    <i/>
  </rowItems>
  <colItems count="1">
    <i/>
  </colItems>
  <dataFields count="1">
    <dataField name="Total Revenue" fld="15" baseField="0" baseItem="9"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F430CA0-8D9D-4D87-AF13-55EEFFF1DF7D}"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K4" firstHeaderRow="1" firstDataRow="1" firstDataCol="0"/>
  <pivotFields count="16">
    <pivotField showAll="0"/>
    <pivotField numFmtId="14" showAll="0"/>
    <pivotField showAll="0"/>
    <pivotField showAll="0"/>
    <pivotField showAll="0"/>
    <pivotField showAll="0"/>
    <pivotField showAll="0"/>
    <pivotField showAll="0"/>
    <pivotField showAll="0"/>
    <pivotField showAll="0"/>
    <pivotField showAll="0"/>
    <pivotField numFmtId="164" showAll="0"/>
    <pivotField numFmtId="164" showAll="0"/>
    <pivotField dataField="1" numFmtId="164" showAll="0"/>
    <pivotField numFmtId="164" showAll="0"/>
    <pivotField numFmtId="164" showAll="0"/>
  </pivotFields>
  <rowItems count="1">
    <i/>
  </rowItems>
  <colItems count="1">
    <i/>
  </colItems>
  <dataFields count="1">
    <dataField name="Sum of  Profit "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130081B-6711-41A0-BDE3-A490998273F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6">
    <pivotField showAll="0"/>
    <pivotField numFmtId="14" showAll="0"/>
    <pivotField dataField="1"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s>
  <rowItems count="1">
    <i/>
  </rowItems>
  <colItems count="1">
    <i/>
  </colItems>
  <dataFields count="1">
    <dataField name="Average of Customer_Age" fld="2" subtotal="average" baseField="0" baseItem="1251742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7AF35B3-259D-4377-8DE8-7441157AC18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6">
    <pivotField dataField="1" showAll="0"/>
    <pivotField numFmtId="14"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s>
  <rowItems count="1">
    <i/>
  </rowItems>
  <colItems count="1">
    <i/>
  </colItems>
  <dataFields count="1">
    <dataField name="Total Sales" fld="0"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AB994CE-DB10-4009-9951-915419BA237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O3:P9" firstHeaderRow="1" firstDataRow="1" firstDataCol="1"/>
  <pivotFields count="16">
    <pivotField showAll="0"/>
    <pivotField numFmtId="14" showAll="0"/>
    <pivotField showAll="0"/>
    <pivotField showAll="0"/>
    <pivotField showAll="0"/>
    <pivotField showAll="0"/>
    <pivotField axis="axisRow" showAll="0" measureFilter="1">
      <items count="18">
        <item x="5"/>
        <item x="0"/>
        <item x="1"/>
        <item x="7"/>
        <item x="15"/>
        <item x="2"/>
        <item x="12"/>
        <item x="10"/>
        <item x="13"/>
        <item x="4"/>
        <item x="8"/>
        <item x="9"/>
        <item x="11"/>
        <item x="16"/>
        <item x="14"/>
        <item x="6"/>
        <item x="3"/>
        <item t="default"/>
      </items>
    </pivotField>
    <pivotField showAll="0"/>
    <pivotField showAll="0"/>
    <pivotField showAll="0"/>
    <pivotField showAll="0"/>
    <pivotField numFmtId="164" showAll="0"/>
    <pivotField numFmtId="164" showAll="0"/>
    <pivotField dataField="1" numFmtId="164" showAll="0"/>
    <pivotField numFmtId="164" showAll="0"/>
    <pivotField numFmtId="164" showAll="0"/>
  </pivotFields>
  <rowFields count="1">
    <field x="6"/>
  </rowFields>
  <rowItems count="6">
    <i>
      <x v="1"/>
    </i>
    <i>
      <x v="5"/>
    </i>
    <i>
      <x v="9"/>
    </i>
    <i>
      <x v="15"/>
    </i>
    <i>
      <x v="16"/>
    </i>
    <i t="grand">
      <x/>
    </i>
  </rowItems>
  <colItems count="1">
    <i/>
  </colItems>
  <dataFields count="1">
    <dataField name="Sum of  Profit "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25F3E39-D7FF-4660-8A7F-617A6B3859E7}"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T3:U10" firstHeaderRow="1" firstDataRow="1" firstDataCol="1"/>
  <pivotFields count="16">
    <pivotField dataField="1" showAll="0">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t="default"/>
      </items>
    </pivotField>
    <pivotField numFmtId="14" showAll="0"/>
    <pivotField showAll="0"/>
    <pivotField showAll="0"/>
    <pivotField showAll="0"/>
    <pivotField axis="axisRow" showAll="0">
      <items count="7">
        <item x="2"/>
        <item x="3"/>
        <item x="5"/>
        <item x="4"/>
        <item x="1"/>
        <item x="0"/>
        <item t="default"/>
      </items>
    </pivotField>
    <pivotField showAll="0"/>
    <pivotField showAll="0"/>
    <pivotField showAll="0"/>
    <pivotField showAll="0"/>
    <pivotField showAll="0"/>
    <pivotField numFmtId="164" showAll="0"/>
    <pivotField numFmtId="164" showAll="0"/>
    <pivotField numFmtId="164" showAll="0"/>
    <pivotField numFmtId="164" showAll="0"/>
    <pivotField numFmtId="164" showAll="0"/>
  </pivotFields>
  <rowFields count="1">
    <field x="5"/>
  </rowFields>
  <rowItems count="7">
    <i>
      <x/>
    </i>
    <i>
      <x v="1"/>
    </i>
    <i>
      <x v="2"/>
    </i>
    <i>
      <x v="3"/>
    </i>
    <i>
      <x v="4"/>
    </i>
    <i>
      <x v="5"/>
    </i>
    <i t="grand">
      <x/>
    </i>
  </rowItems>
  <colItems count="1">
    <i/>
  </colItems>
  <dataFields count="1">
    <dataField name="Count of Sales_Order #"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B77AC47-B5C8-4D5B-AE54-8C81516FFFFB}"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I7:J10" firstHeaderRow="1" firstDataRow="1" firstDataCol="1"/>
  <pivotFields count="16">
    <pivotField showAll="0"/>
    <pivotField numFmtId="14" showAll="0"/>
    <pivotField showAll="0"/>
    <pivotField axis="axisRow" showAll="0">
      <items count="3">
        <item x="0"/>
        <item x="1"/>
        <item t="default"/>
      </items>
    </pivotField>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s>
  <rowFields count="1">
    <field x="3"/>
  </rowFields>
  <rowItems count="3">
    <i>
      <x/>
    </i>
    <i>
      <x v="1"/>
    </i>
    <i t="grand">
      <x/>
    </i>
  </rowItems>
  <colItems count="1">
    <i/>
  </colItems>
  <dataFields count="1">
    <dataField name="Total Revenue" fld="15" baseField="0" baseItem="9" numFmtId="165"/>
  </dataFields>
  <chartFormats count="3">
    <chartFormat chart="0" format="0"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3" count="1" selected="0">
            <x v="0"/>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76F7DC2-BC47-40DA-9C28-119FACC4661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L7:M11" firstHeaderRow="1" firstDataRow="1" firstDataCol="1"/>
  <pivotFields count="16">
    <pivotField showAll="0"/>
    <pivotField numFmtId="14"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s>
  <rowFields count="1">
    <field x="4"/>
  </rowFields>
  <rowItems count="4">
    <i>
      <x/>
    </i>
    <i>
      <x v="1"/>
    </i>
    <i>
      <x v="2"/>
    </i>
    <i t="grand">
      <x/>
    </i>
  </rowItems>
  <colItems count="1">
    <i/>
  </colItems>
  <dataFields count="1">
    <dataField name="Sum of Revenue"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D19A063-88A7-40C6-863A-4355BFD3A47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6">
    <pivotField showAll="0"/>
    <pivotField numFmtId="14" showAll="0"/>
    <pivotField showAll="0"/>
    <pivotField showAll="0"/>
    <pivotField showAll="0"/>
    <pivotField showAll="0"/>
    <pivotField showAll="0"/>
    <pivotField showAll="0"/>
    <pivotField showAll="0"/>
    <pivotField showAll="0"/>
    <pivotField showAll="0"/>
    <pivotField numFmtId="164" showAll="0"/>
    <pivotField numFmtId="164" showAll="0"/>
    <pivotField dataField="1" numFmtId="164" showAll="0"/>
    <pivotField numFmtId="164" showAll="0"/>
    <pivotField numFmtId="164" showAll="0"/>
  </pivotFields>
  <rowItems count="1">
    <i/>
  </rowItems>
  <colItems count="1">
    <i/>
  </colItems>
  <dataFields count="1">
    <dataField name="Total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C220804-5C0C-4AD9-B35A-DFC4348092BA}" sourceName="Country">
  <pivotTables>
    <pivotTable tabId="2" name="PivotTable12"/>
  </pivotTables>
  <data>
    <tabular pivotCacheId="1118877380">
      <items count="6">
        <i x="2" s="1"/>
        <i x="3" s="1"/>
        <i x="5"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DE81BA58-D73E-441D-B189-ECB302490278}" sourceName="Customer_Gender">
  <pivotTables>
    <pivotTable tabId="2" name="PivotTable2"/>
  </pivotTables>
  <data>
    <tabular pivotCacheId="111887738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CD7642C-A99A-4A5F-9374-9C9BFE60BD22}" cache="Slicer_Country" caption="Country" rowHeight="241300"/>
  <slicer name="Customer_Gender" xr10:uid="{7F38EE1F-00AE-4F6B-A353-75594D6A37EB}" cache="Slicer_Customer_Gender" caption="Customer_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A94AD9-72EA-479C-9932-412F7A5947F3}" name="Table1" displayName="Table1" ref="A1:R87" totalsRowShown="0" headerRowDxfId="20" dataDxfId="19" tableBorderDxfId="18">
  <autoFilter ref="A1:R87" xr:uid="{DCA94AD9-72EA-479C-9932-412F7A5947F3}"/>
  <tableColumns count="18">
    <tableColumn id="1" xr3:uid="{EE3C186E-6109-40C5-940D-2E5B0F35EBD4}" name="Sales_Order #" dataDxfId="17"/>
    <tableColumn id="2" xr3:uid="{D0297E49-B6ED-49B3-B009-D0557B562FC0}" name="Date" dataDxfId="16"/>
    <tableColumn id="3" xr3:uid="{AB703D32-9268-4B84-9262-06AFB8F5EF9E}" name="Customer_Age" dataDxfId="15"/>
    <tableColumn id="4" xr3:uid="{BC58DD9F-34E6-4F8F-9944-F1781D151FE8}" name="Customer_Gender" dataDxfId="14"/>
    <tableColumn id="5" xr3:uid="{68346DF1-FB35-484B-B224-C2AC07A945D0}" name="Age Group" dataDxfId="13"/>
    <tableColumn id="6" xr3:uid="{70479C37-8205-44EF-AEF1-98B4B8C4BFF0}" name="Country" dataDxfId="12"/>
    <tableColumn id="7" xr3:uid="{EF24753B-30D2-4056-9CF0-7D5EB085FC85}" name="State" dataDxfId="11"/>
    <tableColumn id="8" xr3:uid="{6EC689FB-66A3-4D12-9176-BA31E10C4044}" name="Product_Category" dataDxfId="10"/>
    <tableColumn id="9" xr3:uid="{FC148D65-57E2-40DA-AC8E-66DDA12ADBD5}" name="Sub_Category" dataDxfId="9"/>
    <tableColumn id="10" xr3:uid="{B38CCAED-8B22-4153-9399-4F95AE9CDE37}" name="Product_Description" dataDxfId="8"/>
    <tableColumn id="11" xr3:uid="{18228302-6C74-407A-9C55-B4D42308ED25}" name="Order_Quantity" dataDxfId="7"/>
    <tableColumn id="12" xr3:uid="{2D422FCD-5F73-4BAE-89A3-754243F08B67}" name=" Unit_Cost " dataDxfId="6"/>
    <tableColumn id="13" xr3:uid="{420BFF5B-A069-4F65-B34B-C4F3D771C64C}" name=" Unit_Price " dataDxfId="5"/>
    <tableColumn id="14" xr3:uid="{54B8B091-4F63-49E6-8B21-7C74FBD5A822}" name=" Profit " dataDxfId="4"/>
    <tableColumn id="15" xr3:uid="{9B679AE9-331D-4EBE-BC4C-08B2557A3BC5}" name=" Cost " dataDxfId="3"/>
    <tableColumn id="16" xr3:uid="{03A139BF-4824-44E5-A0CC-30DD576F0EE7}" name="Revenue" dataDxfId="2"/>
    <tableColumn id="17" xr3:uid="{3D3B4EDD-CA01-41F6-B09B-C7ACD52551C0}" name="Profit Margin" dataDxfId="1">
      <calculatedColumnFormula>Table1[[#This Row],[ Profit ]]/Table1[[#This Row],[Revenue]]</calculatedColumnFormula>
    </tableColumn>
    <tableColumn id="18" xr3:uid="{8C7511F6-B312-4E8D-AE88-9932A79C9D05}" name="Profit Margi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rinterSettings" Target="../printerSettings/printerSettings2.bin"/><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BC4B-F885-4414-9E8E-3279D2943292}">
  <dimension ref="A3:J34"/>
  <sheetViews>
    <sheetView topLeftCell="B1" workbookViewId="0">
      <selection activeCell="J19" sqref="J19:J20"/>
    </sheetView>
  </sheetViews>
  <sheetFormatPr defaultRowHeight="14.25" x14ac:dyDescent="0.45"/>
  <cols>
    <col min="1" max="1" width="14.6640625" bestFit="1" customWidth="1"/>
    <col min="2" max="2" width="19.86328125" bestFit="1" customWidth="1"/>
    <col min="3" max="3" width="6.46484375" customWidth="1"/>
    <col min="4" max="4" width="13.06640625" bestFit="1" customWidth="1"/>
    <col min="5" max="5" width="14.1328125" bestFit="1" customWidth="1"/>
    <col min="6" max="6" width="6.86328125" customWidth="1"/>
    <col min="7" max="8" width="14.1328125" bestFit="1" customWidth="1"/>
    <col min="9" max="9" width="17" bestFit="1" customWidth="1"/>
    <col min="10" max="10" width="14.1328125" bestFit="1" customWidth="1"/>
    <col min="11" max="11" width="19.86328125" bestFit="1" customWidth="1"/>
  </cols>
  <sheetData>
    <row r="3" spans="1:10" x14ac:dyDescent="0.45">
      <c r="A3" s="11" t="s">
        <v>64</v>
      </c>
      <c r="B3" t="s">
        <v>67</v>
      </c>
      <c r="G3" t="s">
        <v>67</v>
      </c>
      <c r="I3" s="11" t="s">
        <v>64</v>
      </c>
      <c r="J3" t="s">
        <v>67</v>
      </c>
    </row>
    <row r="4" spans="1:10" x14ac:dyDescent="0.45">
      <c r="A4" s="12" t="s">
        <v>24</v>
      </c>
      <c r="B4" s="26">
        <v>19972</v>
      </c>
      <c r="G4" s="25">
        <v>343846</v>
      </c>
      <c r="I4" s="12" t="s">
        <v>17</v>
      </c>
      <c r="J4" s="10">
        <v>205066</v>
      </c>
    </row>
    <row r="5" spans="1:10" x14ac:dyDescent="0.45">
      <c r="A5" s="12" t="s">
        <v>37</v>
      </c>
      <c r="B5" s="26">
        <v>20080</v>
      </c>
      <c r="I5" s="12" t="s">
        <v>28</v>
      </c>
      <c r="J5" s="10">
        <v>103450</v>
      </c>
    </row>
    <row r="6" spans="1:10" x14ac:dyDescent="0.45">
      <c r="A6" s="12" t="s">
        <v>43</v>
      </c>
      <c r="B6" s="26">
        <v>20830</v>
      </c>
      <c r="G6" t="s">
        <v>68</v>
      </c>
      <c r="I6" s="12" t="s">
        <v>32</v>
      </c>
      <c r="J6" s="10">
        <v>35330</v>
      </c>
    </row>
    <row r="7" spans="1:10" x14ac:dyDescent="0.45">
      <c r="A7" s="12" t="s">
        <v>48</v>
      </c>
      <c r="B7" s="26">
        <v>46175</v>
      </c>
      <c r="G7" s="25">
        <v>157005</v>
      </c>
      <c r="I7" s="12" t="s">
        <v>65</v>
      </c>
      <c r="J7" s="10">
        <v>343846</v>
      </c>
    </row>
    <row r="8" spans="1:10" x14ac:dyDescent="0.45">
      <c r="A8" s="12" t="s">
        <v>29</v>
      </c>
      <c r="B8" s="26">
        <v>106135</v>
      </c>
    </row>
    <row r="9" spans="1:10" x14ac:dyDescent="0.45">
      <c r="A9" s="12" t="s">
        <v>18</v>
      </c>
      <c r="B9" s="26">
        <v>130654</v>
      </c>
      <c r="D9" s="11" t="s">
        <v>64</v>
      </c>
      <c r="E9" t="s">
        <v>67</v>
      </c>
      <c r="G9" t="s">
        <v>69</v>
      </c>
      <c r="I9" s="11" t="s">
        <v>64</v>
      </c>
      <c r="J9" t="s">
        <v>66</v>
      </c>
    </row>
    <row r="10" spans="1:10" x14ac:dyDescent="0.45">
      <c r="A10" s="12" t="s">
        <v>65</v>
      </c>
      <c r="B10" s="26">
        <v>343846</v>
      </c>
      <c r="D10" s="13">
        <v>44531</v>
      </c>
      <c r="E10" s="10">
        <v>11500</v>
      </c>
      <c r="G10" s="25">
        <v>187413</v>
      </c>
      <c r="I10" s="12" t="s">
        <v>17</v>
      </c>
      <c r="J10" s="10">
        <v>98</v>
      </c>
    </row>
    <row r="11" spans="1:10" x14ac:dyDescent="0.45">
      <c r="D11" s="13">
        <v>44532</v>
      </c>
      <c r="E11" s="10">
        <v>2307</v>
      </c>
      <c r="I11" s="12" t="s">
        <v>28</v>
      </c>
      <c r="J11" s="10">
        <v>55</v>
      </c>
    </row>
    <row r="12" spans="1:10" x14ac:dyDescent="0.45">
      <c r="D12" s="13">
        <v>44533</v>
      </c>
      <c r="E12" s="10">
        <v>11475</v>
      </c>
      <c r="G12" s="11" t="s">
        <v>64</v>
      </c>
      <c r="H12" t="s">
        <v>70</v>
      </c>
      <c r="I12" s="12" t="s">
        <v>32</v>
      </c>
      <c r="J12" s="10">
        <v>27</v>
      </c>
    </row>
    <row r="13" spans="1:10" x14ac:dyDescent="0.45">
      <c r="A13" s="11" t="s">
        <v>64</v>
      </c>
      <c r="B13" t="s">
        <v>66</v>
      </c>
      <c r="D13" s="13">
        <v>44534</v>
      </c>
      <c r="E13" s="10">
        <v>0</v>
      </c>
      <c r="G13" s="12" t="s">
        <v>18</v>
      </c>
      <c r="H13" s="10">
        <v>31</v>
      </c>
      <c r="I13" s="12" t="s">
        <v>65</v>
      </c>
      <c r="J13" s="10">
        <v>180</v>
      </c>
    </row>
    <row r="14" spans="1:10" x14ac:dyDescent="0.45">
      <c r="A14" s="12" t="s">
        <v>41</v>
      </c>
      <c r="B14" s="10">
        <v>13</v>
      </c>
      <c r="D14" s="13">
        <v>44535</v>
      </c>
      <c r="E14" s="10">
        <v>13795</v>
      </c>
      <c r="G14" s="12" t="s">
        <v>29</v>
      </c>
      <c r="H14" s="10">
        <v>26</v>
      </c>
    </row>
    <row r="15" spans="1:10" x14ac:dyDescent="0.45">
      <c r="A15" s="12" t="s">
        <v>34</v>
      </c>
      <c r="B15" s="10">
        <v>13</v>
      </c>
      <c r="D15" s="13">
        <v>44536</v>
      </c>
      <c r="E15" s="10">
        <v>6922</v>
      </c>
      <c r="G15" s="12" t="s">
        <v>24</v>
      </c>
      <c r="H15" s="10">
        <v>9</v>
      </c>
    </row>
    <row r="16" spans="1:10" x14ac:dyDescent="0.45">
      <c r="A16" s="12" t="s">
        <v>25</v>
      </c>
      <c r="B16" s="10">
        <v>14</v>
      </c>
      <c r="D16" s="13">
        <v>44537</v>
      </c>
      <c r="E16" s="10">
        <v>7716</v>
      </c>
      <c r="G16" s="12" t="s">
        <v>48</v>
      </c>
      <c r="H16" s="10">
        <v>8</v>
      </c>
      <c r="J16" t="s">
        <v>93</v>
      </c>
    </row>
    <row r="17" spans="1:10" x14ac:dyDescent="0.45">
      <c r="A17" s="12" t="s">
        <v>35</v>
      </c>
      <c r="B17" s="10">
        <v>17</v>
      </c>
      <c r="D17" s="13">
        <v>44538</v>
      </c>
      <c r="E17" s="10">
        <v>11540</v>
      </c>
      <c r="G17" s="12" t="s">
        <v>37</v>
      </c>
      <c r="H17" s="10">
        <v>6</v>
      </c>
      <c r="J17" s="23">
        <v>34.023529411764706</v>
      </c>
    </row>
    <row r="18" spans="1:10" x14ac:dyDescent="0.45">
      <c r="A18" s="12" t="s">
        <v>30</v>
      </c>
      <c r="B18" s="10">
        <v>30</v>
      </c>
      <c r="D18" s="13">
        <v>44539</v>
      </c>
      <c r="E18" s="10">
        <v>9070</v>
      </c>
      <c r="G18" s="12" t="s">
        <v>43</v>
      </c>
      <c r="H18" s="10">
        <v>5</v>
      </c>
    </row>
    <row r="19" spans="1:10" x14ac:dyDescent="0.45">
      <c r="A19" s="12" t="s">
        <v>19</v>
      </c>
      <c r="B19" s="10">
        <v>42</v>
      </c>
      <c r="D19" s="13">
        <v>44540</v>
      </c>
      <c r="E19" s="10">
        <v>17710</v>
      </c>
      <c r="G19" s="12" t="s">
        <v>65</v>
      </c>
      <c r="H19" s="10">
        <v>85</v>
      </c>
      <c r="J19" t="s">
        <v>70</v>
      </c>
    </row>
    <row r="20" spans="1:10" x14ac:dyDescent="0.45">
      <c r="A20" s="12" t="s">
        <v>65</v>
      </c>
      <c r="B20" s="10">
        <v>129</v>
      </c>
      <c r="D20" s="13">
        <v>44541</v>
      </c>
      <c r="E20" s="10">
        <v>13807</v>
      </c>
      <c r="J20" s="10">
        <v>85</v>
      </c>
    </row>
    <row r="21" spans="1:10" x14ac:dyDescent="0.45">
      <c r="D21" s="13">
        <v>44542</v>
      </c>
      <c r="E21" s="10">
        <v>21586</v>
      </c>
    </row>
    <row r="22" spans="1:10" x14ac:dyDescent="0.45">
      <c r="D22" s="13">
        <v>44543</v>
      </c>
      <c r="E22" s="10">
        <v>12115</v>
      </c>
    </row>
    <row r="23" spans="1:10" x14ac:dyDescent="0.45">
      <c r="D23" s="13">
        <v>44544</v>
      </c>
      <c r="E23" s="10">
        <v>7704</v>
      </c>
      <c r="G23" t="s">
        <v>69</v>
      </c>
      <c r="H23" t="s">
        <v>68</v>
      </c>
      <c r="I23" t="s">
        <v>67</v>
      </c>
    </row>
    <row r="24" spans="1:10" x14ac:dyDescent="0.45">
      <c r="D24" s="13">
        <v>44545</v>
      </c>
      <c r="E24" s="10">
        <v>2320</v>
      </c>
      <c r="G24" s="10">
        <v>187413</v>
      </c>
      <c r="H24" s="10">
        <v>157005</v>
      </c>
      <c r="I24" s="10">
        <v>343846</v>
      </c>
    </row>
    <row r="25" spans="1:10" x14ac:dyDescent="0.45">
      <c r="D25" s="13">
        <v>44546</v>
      </c>
      <c r="E25" s="10">
        <v>11500</v>
      </c>
    </row>
    <row r="26" spans="1:10" x14ac:dyDescent="0.45">
      <c r="D26" s="13">
        <v>44547</v>
      </c>
      <c r="E26" s="10">
        <v>7729</v>
      </c>
      <c r="G26" s="11" t="s">
        <v>64</v>
      </c>
      <c r="H26" t="s">
        <v>67</v>
      </c>
    </row>
    <row r="27" spans="1:10" x14ac:dyDescent="0.45">
      <c r="D27" s="13">
        <v>44548</v>
      </c>
      <c r="E27" s="10">
        <v>32307</v>
      </c>
      <c r="G27" s="12" t="s">
        <v>16</v>
      </c>
      <c r="H27" s="26">
        <v>207843</v>
      </c>
    </row>
    <row r="28" spans="1:10" x14ac:dyDescent="0.45">
      <c r="D28" s="13">
        <v>44549</v>
      </c>
      <c r="E28" s="10">
        <v>69650</v>
      </c>
      <c r="G28" s="12" t="s">
        <v>23</v>
      </c>
      <c r="H28" s="26">
        <v>136003</v>
      </c>
    </row>
    <row r="29" spans="1:10" x14ac:dyDescent="0.45">
      <c r="D29" s="13">
        <v>44550</v>
      </c>
      <c r="E29" s="10">
        <v>28940</v>
      </c>
      <c r="G29" s="12" t="s">
        <v>65</v>
      </c>
      <c r="H29" s="26">
        <v>343846</v>
      </c>
    </row>
    <row r="30" spans="1:10" x14ac:dyDescent="0.45">
      <c r="D30" s="13">
        <v>44551</v>
      </c>
      <c r="E30" s="10">
        <v>8498</v>
      </c>
    </row>
    <row r="31" spans="1:10" x14ac:dyDescent="0.45">
      <c r="D31" s="13">
        <v>44552</v>
      </c>
      <c r="E31" s="10">
        <v>21320</v>
      </c>
    </row>
    <row r="32" spans="1:10" x14ac:dyDescent="0.45">
      <c r="D32" s="13">
        <v>44553</v>
      </c>
      <c r="E32" s="10">
        <v>5155</v>
      </c>
    </row>
    <row r="33" spans="4:5" x14ac:dyDescent="0.45">
      <c r="D33" s="13">
        <v>44554</v>
      </c>
      <c r="E33" s="10">
        <v>9180</v>
      </c>
    </row>
    <row r="34" spans="4:5" x14ac:dyDescent="0.45">
      <c r="D34" s="13" t="s">
        <v>65</v>
      </c>
      <c r="E34" s="10">
        <v>343846</v>
      </c>
    </row>
  </sheetData>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EB565-5F72-4066-9EC8-30FB04943AC7}">
  <dimension ref="A1"/>
  <sheetViews>
    <sheetView showGridLines="0" showRowColHeaders="0" tabSelected="1" zoomScale="76" zoomScaleNormal="76" workbookViewId="0">
      <selection activeCell="I34" sqref="I34"/>
    </sheetView>
  </sheetViews>
  <sheetFormatPr defaultRowHeight="14.25" x14ac:dyDescent="0.45"/>
  <cols>
    <col min="1" max="16384" width="9.0664062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9398-3D7B-4FE6-A26A-B144601E0EE8}">
  <dimension ref="A1:R87"/>
  <sheetViews>
    <sheetView topLeftCell="G1" workbookViewId="0">
      <selection activeCell="R1" sqref="R1"/>
    </sheetView>
  </sheetViews>
  <sheetFormatPr defaultRowHeight="14.25" x14ac:dyDescent="0.45"/>
  <cols>
    <col min="1" max="1" width="13.796875" customWidth="1"/>
    <col min="2" max="2" width="10.19921875" bestFit="1" customWidth="1"/>
    <col min="3" max="3" width="14.53125" customWidth="1"/>
    <col min="4" max="4" width="17.3984375" customWidth="1"/>
    <col min="5" max="5" width="17" bestFit="1" customWidth="1"/>
    <col min="6" max="6" width="13.53125" bestFit="1" customWidth="1"/>
    <col min="8" max="8" width="17.06640625" customWidth="1"/>
    <col min="9" max="9" width="13.796875" customWidth="1"/>
    <col min="10" max="10" width="22.265625" bestFit="1" customWidth="1"/>
    <col min="11" max="11" width="15.3984375" customWidth="1"/>
    <col min="12" max="12" width="11.46484375" customWidth="1"/>
    <col min="13" max="13" width="11.86328125" customWidth="1"/>
    <col min="16" max="16" width="9.73046875" customWidth="1"/>
    <col min="17" max="17" width="13.59765625" style="19" bestFit="1" customWidth="1"/>
    <col min="18" max="18" width="9.06640625" style="22"/>
  </cols>
  <sheetData>
    <row r="1" spans="1:18" x14ac:dyDescent="0.45">
      <c r="A1" s="7" t="s">
        <v>0</v>
      </c>
      <c r="B1" s="8" t="s">
        <v>1</v>
      </c>
      <c r="C1" s="7" t="s">
        <v>2</v>
      </c>
      <c r="D1" s="7" t="s">
        <v>3</v>
      </c>
      <c r="E1" s="7" t="s">
        <v>4</v>
      </c>
      <c r="F1" s="7" t="s">
        <v>5</v>
      </c>
      <c r="G1" s="7" t="s">
        <v>6</v>
      </c>
      <c r="H1" s="7" t="s">
        <v>7</v>
      </c>
      <c r="I1" s="7" t="s">
        <v>8</v>
      </c>
      <c r="J1" s="7" t="s">
        <v>9</v>
      </c>
      <c r="K1" s="7" t="s">
        <v>10</v>
      </c>
      <c r="L1" s="9" t="s">
        <v>11</v>
      </c>
      <c r="M1" s="9" t="s">
        <v>12</v>
      </c>
      <c r="N1" s="9" t="s">
        <v>13</v>
      </c>
      <c r="O1" s="9" t="s">
        <v>14</v>
      </c>
      <c r="P1" s="9" t="s">
        <v>15</v>
      </c>
      <c r="Q1" s="17" t="s">
        <v>96</v>
      </c>
      <c r="R1" s="20" t="s">
        <v>97</v>
      </c>
    </row>
    <row r="2" spans="1:18" x14ac:dyDescent="0.45">
      <c r="A2" s="2">
        <v>261695</v>
      </c>
      <c r="B2" s="1">
        <v>44531</v>
      </c>
      <c r="C2" s="2">
        <v>39</v>
      </c>
      <c r="D2" s="2" t="s">
        <v>16</v>
      </c>
      <c r="E2" s="2" t="s">
        <v>17</v>
      </c>
      <c r="F2" s="2" t="s">
        <v>18</v>
      </c>
      <c r="G2" s="2" t="s">
        <v>19</v>
      </c>
      <c r="H2" s="2" t="s">
        <v>20</v>
      </c>
      <c r="I2" s="2" t="s">
        <v>21</v>
      </c>
      <c r="J2" s="2" t="s">
        <v>22</v>
      </c>
      <c r="K2" s="2">
        <v>4</v>
      </c>
      <c r="L2" s="3">
        <v>1252</v>
      </c>
      <c r="M2" s="3">
        <v>2295</v>
      </c>
      <c r="N2" s="3">
        <v>4172</v>
      </c>
      <c r="O2" s="3">
        <v>5008</v>
      </c>
      <c r="P2" s="3">
        <v>9180</v>
      </c>
      <c r="Q2" s="16">
        <f>Table1[[#This Row],[ Profit ]]/Table1[[#This Row],[Revenue]]</f>
        <v>0.45446623093681915</v>
      </c>
      <c r="R2" s="21">
        <v>0.45446623093681915</v>
      </c>
    </row>
    <row r="3" spans="1:18" x14ac:dyDescent="0.45">
      <c r="A3" s="5">
        <v>261695</v>
      </c>
      <c r="B3" s="4">
        <v>44531</v>
      </c>
      <c r="C3" s="5">
        <v>44</v>
      </c>
      <c r="D3" s="5" t="s">
        <v>23</v>
      </c>
      <c r="E3" s="5" t="s">
        <v>17</v>
      </c>
      <c r="F3" s="5" t="s">
        <v>24</v>
      </c>
      <c r="G3" s="5" t="s">
        <v>25</v>
      </c>
      <c r="H3" s="5" t="s">
        <v>20</v>
      </c>
      <c r="I3" s="5" t="s">
        <v>21</v>
      </c>
      <c r="J3" s="5" t="s">
        <v>26</v>
      </c>
      <c r="K3" s="5">
        <v>1</v>
      </c>
      <c r="L3" s="6">
        <v>1266</v>
      </c>
      <c r="M3" s="6">
        <v>2320</v>
      </c>
      <c r="N3" s="6">
        <v>1054</v>
      </c>
      <c r="O3" s="6">
        <v>1266</v>
      </c>
      <c r="P3" s="6">
        <v>2320</v>
      </c>
      <c r="Q3" s="18">
        <f>Table1[[#This Row],[ Profit ]]/Table1[[#This Row],[Revenue]]</f>
        <v>0.4543103448275862</v>
      </c>
      <c r="R3" s="21">
        <v>0.4543103448275862</v>
      </c>
    </row>
    <row r="4" spans="1:18" x14ac:dyDescent="0.45">
      <c r="A4" s="2">
        <v>261697</v>
      </c>
      <c r="B4" s="1">
        <v>44532</v>
      </c>
      <c r="C4" s="2">
        <v>37</v>
      </c>
      <c r="D4" s="2" t="s">
        <v>23</v>
      </c>
      <c r="E4" s="2" t="s">
        <v>17</v>
      </c>
      <c r="F4" s="2" t="s">
        <v>18</v>
      </c>
      <c r="G4" s="2" t="s">
        <v>19</v>
      </c>
      <c r="H4" s="2" t="s">
        <v>20</v>
      </c>
      <c r="I4" s="2" t="s">
        <v>21</v>
      </c>
      <c r="J4" s="2" t="s">
        <v>27</v>
      </c>
      <c r="K4" s="2">
        <v>2</v>
      </c>
      <c r="L4" s="3">
        <v>420</v>
      </c>
      <c r="M4" s="3">
        <v>769</v>
      </c>
      <c r="N4" s="3">
        <v>698</v>
      </c>
      <c r="O4" s="3">
        <v>840</v>
      </c>
      <c r="P4" s="3">
        <v>1538</v>
      </c>
      <c r="Q4" s="18">
        <f>Table1[[#This Row],[ Profit ]]/Table1[[#This Row],[Revenue]]</f>
        <v>0.45383615084525358</v>
      </c>
      <c r="R4" s="21">
        <v>0.45383615084525358</v>
      </c>
    </row>
    <row r="5" spans="1:18" x14ac:dyDescent="0.45">
      <c r="A5" s="5">
        <v>261698</v>
      </c>
      <c r="B5" s="4">
        <v>44532</v>
      </c>
      <c r="C5" s="5">
        <v>31</v>
      </c>
      <c r="D5" s="5" t="s">
        <v>16</v>
      </c>
      <c r="E5" s="5" t="s">
        <v>28</v>
      </c>
      <c r="F5" s="5" t="s">
        <v>29</v>
      </c>
      <c r="G5" s="5" t="s">
        <v>30</v>
      </c>
      <c r="H5" s="5" t="s">
        <v>20</v>
      </c>
      <c r="I5" s="5" t="s">
        <v>21</v>
      </c>
      <c r="J5" s="5" t="s">
        <v>31</v>
      </c>
      <c r="K5" s="5">
        <v>1</v>
      </c>
      <c r="L5" s="6">
        <v>420</v>
      </c>
      <c r="M5" s="6">
        <v>769</v>
      </c>
      <c r="N5" s="6">
        <v>349</v>
      </c>
      <c r="O5" s="6">
        <v>420</v>
      </c>
      <c r="P5" s="6">
        <v>769</v>
      </c>
      <c r="Q5" s="16">
        <f>Table1[[#This Row],[ Profit ]]/Table1[[#This Row],[Revenue]]</f>
        <v>0.45383615084525358</v>
      </c>
      <c r="R5" s="21">
        <v>0.45383615084525358</v>
      </c>
    </row>
    <row r="6" spans="1:18" x14ac:dyDescent="0.45">
      <c r="A6" s="2">
        <v>261699</v>
      </c>
      <c r="B6" s="1">
        <v>44533</v>
      </c>
      <c r="C6" s="2">
        <v>37</v>
      </c>
      <c r="D6" s="2" t="s">
        <v>16</v>
      </c>
      <c r="E6" s="2" t="s">
        <v>17</v>
      </c>
      <c r="F6" s="2" t="s">
        <v>18</v>
      </c>
      <c r="G6" s="2" t="s">
        <v>19</v>
      </c>
      <c r="H6" s="2" t="s">
        <v>20</v>
      </c>
      <c r="I6" s="2" t="s">
        <v>21</v>
      </c>
      <c r="J6" s="2" t="s">
        <v>22</v>
      </c>
      <c r="K6" s="2">
        <v>2</v>
      </c>
      <c r="L6" s="3">
        <v>0</v>
      </c>
      <c r="M6" s="3">
        <v>2295</v>
      </c>
      <c r="N6" s="3">
        <v>2086</v>
      </c>
      <c r="O6" s="3">
        <v>0</v>
      </c>
      <c r="P6" s="3">
        <v>4590</v>
      </c>
      <c r="Q6" s="16">
        <f>Table1[[#This Row],[ Profit ]]/Table1[[#This Row],[Revenue]]</f>
        <v>0.45446623093681915</v>
      </c>
      <c r="R6" s="21">
        <v>0.45446623093681915</v>
      </c>
    </row>
    <row r="7" spans="1:18" x14ac:dyDescent="0.45">
      <c r="A7" s="5">
        <v>261700</v>
      </c>
      <c r="B7" s="4">
        <v>44533</v>
      </c>
      <c r="C7" s="5">
        <v>24</v>
      </c>
      <c r="D7" s="5" t="s">
        <v>16</v>
      </c>
      <c r="E7" s="5" t="s">
        <v>32</v>
      </c>
      <c r="F7" s="5" t="s">
        <v>24</v>
      </c>
      <c r="G7" s="5" t="s">
        <v>25</v>
      </c>
      <c r="H7" s="5" t="s">
        <v>20</v>
      </c>
      <c r="I7" s="5" t="s">
        <v>21</v>
      </c>
      <c r="J7" s="5" t="s">
        <v>33</v>
      </c>
      <c r="K7" s="5">
        <v>1</v>
      </c>
      <c r="L7" s="6">
        <v>1252</v>
      </c>
      <c r="M7" s="6">
        <v>2295</v>
      </c>
      <c r="N7" s="6">
        <v>1043</v>
      </c>
      <c r="O7" s="6">
        <v>1252</v>
      </c>
      <c r="P7" s="6">
        <v>2295</v>
      </c>
      <c r="Q7" s="16">
        <f>Table1[[#This Row],[ Profit ]]/Table1[[#This Row],[Revenue]]</f>
        <v>0.45446623093681915</v>
      </c>
      <c r="R7" s="21">
        <v>0.45446623093681915</v>
      </c>
    </row>
    <row r="8" spans="1:18" x14ac:dyDescent="0.45">
      <c r="A8" s="2">
        <v>261701</v>
      </c>
      <c r="B8" s="1">
        <v>44533</v>
      </c>
      <c r="C8" s="2">
        <v>37</v>
      </c>
      <c r="D8" s="2" t="s">
        <v>23</v>
      </c>
      <c r="E8" s="2" t="s">
        <v>17</v>
      </c>
      <c r="F8" s="2" t="s">
        <v>18</v>
      </c>
      <c r="G8" s="2" t="s">
        <v>34</v>
      </c>
      <c r="H8" s="2" t="s">
        <v>20</v>
      </c>
      <c r="I8" s="2" t="s">
        <v>21</v>
      </c>
      <c r="J8" s="2" t="s">
        <v>22</v>
      </c>
      <c r="K8" s="2">
        <v>1</v>
      </c>
      <c r="L8" s="3">
        <v>1252</v>
      </c>
      <c r="M8" s="3">
        <v>2295</v>
      </c>
      <c r="N8" s="3">
        <v>1043</v>
      </c>
      <c r="O8" s="3">
        <v>1252</v>
      </c>
      <c r="P8" s="3">
        <v>2295</v>
      </c>
      <c r="Q8" s="18">
        <f>Table1[[#This Row],[ Profit ]]/Table1[[#This Row],[Revenue]]</f>
        <v>0.45446623093681915</v>
      </c>
      <c r="R8" s="21">
        <v>0.45446623093681915</v>
      </c>
    </row>
    <row r="9" spans="1:18" x14ac:dyDescent="0.45">
      <c r="A9" s="5">
        <v>261701</v>
      </c>
      <c r="B9" s="4">
        <v>44533</v>
      </c>
      <c r="C9" s="5">
        <v>37</v>
      </c>
      <c r="D9" s="5" t="s">
        <v>23</v>
      </c>
      <c r="E9" s="5" t="s">
        <v>17</v>
      </c>
      <c r="F9" s="5" t="s">
        <v>18</v>
      </c>
      <c r="G9" s="5" t="s">
        <v>34</v>
      </c>
      <c r="H9" s="5" t="s">
        <v>20</v>
      </c>
      <c r="I9" s="5" t="s">
        <v>21</v>
      </c>
      <c r="J9" s="5" t="s">
        <v>22</v>
      </c>
      <c r="K9" s="5">
        <v>1</v>
      </c>
      <c r="L9" s="6">
        <v>1252</v>
      </c>
      <c r="M9" s="6">
        <v>2295</v>
      </c>
      <c r="N9" s="6">
        <v>1043</v>
      </c>
      <c r="O9" s="6">
        <v>1252</v>
      </c>
      <c r="P9" s="6">
        <v>2295</v>
      </c>
      <c r="Q9" s="18">
        <f>Table1[[#This Row],[ Profit ]]/Table1[[#This Row],[Revenue]]</f>
        <v>0.45446623093681915</v>
      </c>
      <c r="R9" s="21">
        <v>0.45446623093681915</v>
      </c>
    </row>
    <row r="10" spans="1:18" x14ac:dyDescent="0.45">
      <c r="A10" s="2">
        <v>261702</v>
      </c>
      <c r="B10" s="1">
        <v>44534</v>
      </c>
      <c r="C10" s="2">
        <v>31</v>
      </c>
      <c r="D10" s="2" t="s">
        <v>16</v>
      </c>
      <c r="E10" s="2" t="s">
        <v>28</v>
      </c>
      <c r="F10" s="2" t="s">
        <v>29</v>
      </c>
      <c r="G10" s="2" t="s">
        <v>30</v>
      </c>
      <c r="H10" s="2" t="s">
        <v>20</v>
      </c>
      <c r="I10" s="2" t="s">
        <v>21</v>
      </c>
      <c r="J10" s="2" t="s">
        <v>31</v>
      </c>
      <c r="K10" s="2">
        <v>4</v>
      </c>
      <c r="L10" s="3">
        <v>420</v>
      </c>
      <c r="M10" s="3">
        <v>0</v>
      </c>
      <c r="N10" s="3">
        <v>1396</v>
      </c>
      <c r="O10" s="3">
        <v>1680</v>
      </c>
      <c r="P10" s="3">
        <v>0</v>
      </c>
      <c r="Q10" s="16" t="e">
        <f>Table1[[#This Row],[ Profit ]]/Table1[[#This Row],[Revenue]]</f>
        <v>#DIV/0!</v>
      </c>
      <c r="R10" s="21">
        <v>0</v>
      </c>
    </row>
    <row r="11" spans="1:18" x14ac:dyDescent="0.45">
      <c r="A11" s="5">
        <v>261703</v>
      </c>
      <c r="B11" s="4">
        <v>44535</v>
      </c>
      <c r="C11" s="5">
        <v>39</v>
      </c>
      <c r="D11" s="5" t="s">
        <v>16</v>
      </c>
      <c r="E11" s="5" t="s">
        <v>17</v>
      </c>
      <c r="F11" s="5" t="s">
        <v>18</v>
      </c>
      <c r="G11" s="5" t="s">
        <v>19</v>
      </c>
      <c r="H11" s="5" t="s">
        <v>20</v>
      </c>
      <c r="I11" s="5" t="s">
        <v>21</v>
      </c>
      <c r="J11" s="5" t="s">
        <v>22</v>
      </c>
      <c r="K11" s="5">
        <v>4</v>
      </c>
      <c r="L11" s="6">
        <v>1252</v>
      </c>
      <c r="M11" s="6">
        <v>2295</v>
      </c>
      <c r="N11" s="6">
        <v>4172</v>
      </c>
      <c r="O11" s="6">
        <v>5008</v>
      </c>
      <c r="P11" s="6">
        <v>9180</v>
      </c>
      <c r="Q11" s="16">
        <f>Table1[[#This Row],[ Profit ]]/Table1[[#This Row],[Revenue]]</f>
        <v>0.45446623093681915</v>
      </c>
      <c r="R11" s="21">
        <v>0.45446623093681915</v>
      </c>
    </row>
    <row r="12" spans="1:18" x14ac:dyDescent="0.45">
      <c r="A12" s="2">
        <v>261705</v>
      </c>
      <c r="B12" s="1">
        <v>44535</v>
      </c>
      <c r="C12" s="2">
        <v>35</v>
      </c>
      <c r="D12" s="2" t="s">
        <v>16</v>
      </c>
      <c r="E12" s="2" t="s">
        <v>17</v>
      </c>
      <c r="F12" s="2" t="s">
        <v>29</v>
      </c>
      <c r="G12" s="2" t="s">
        <v>35</v>
      </c>
      <c r="H12" s="2" t="s">
        <v>20</v>
      </c>
      <c r="I12" s="2" t="s">
        <v>21</v>
      </c>
      <c r="J12" s="2" t="s">
        <v>36</v>
      </c>
      <c r="K12" s="2">
        <v>1</v>
      </c>
      <c r="L12" s="3">
        <v>1266</v>
      </c>
      <c r="M12" s="3">
        <v>2320</v>
      </c>
      <c r="N12" s="3">
        <v>1054</v>
      </c>
      <c r="O12" s="3">
        <v>1266</v>
      </c>
      <c r="P12" s="3">
        <v>2320</v>
      </c>
      <c r="Q12" s="16">
        <f>Table1[[#This Row],[ Profit ]]/Table1[[#This Row],[Revenue]]</f>
        <v>0.4543103448275862</v>
      </c>
      <c r="R12" s="21">
        <v>0.4543103448275862</v>
      </c>
    </row>
    <row r="13" spans="1:18" x14ac:dyDescent="0.45">
      <c r="A13" s="5">
        <v>261706</v>
      </c>
      <c r="B13" s="4">
        <v>44535</v>
      </c>
      <c r="C13" s="5">
        <v>37</v>
      </c>
      <c r="D13" s="5" t="s">
        <v>16</v>
      </c>
      <c r="E13" s="5" t="s">
        <v>17</v>
      </c>
      <c r="F13" s="5" t="s">
        <v>18</v>
      </c>
      <c r="G13" s="5" t="s">
        <v>19</v>
      </c>
      <c r="H13" s="5" t="s">
        <v>20</v>
      </c>
      <c r="I13" s="5" t="s">
        <v>21</v>
      </c>
      <c r="J13" s="5" t="s">
        <v>22</v>
      </c>
      <c r="K13" s="5">
        <v>1</v>
      </c>
      <c r="L13" s="6">
        <v>1252</v>
      </c>
      <c r="M13" s="6">
        <v>2295</v>
      </c>
      <c r="N13" s="6">
        <v>1043</v>
      </c>
      <c r="O13" s="6">
        <v>1252</v>
      </c>
      <c r="P13" s="6">
        <v>2295</v>
      </c>
      <c r="Q13" s="16">
        <f>Table1[[#This Row],[ Profit ]]/Table1[[#This Row],[Revenue]]</f>
        <v>0.45446623093681915</v>
      </c>
      <c r="R13" s="21">
        <v>0.45446623093681915</v>
      </c>
    </row>
    <row r="14" spans="1:18" x14ac:dyDescent="0.45">
      <c r="A14" s="2">
        <v>261707</v>
      </c>
      <c r="B14" s="1">
        <v>44536</v>
      </c>
      <c r="C14" s="2">
        <v>23</v>
      </c>
      <c r="D14" s="2" t="s">
        <v>23</v>
      </c>
      <c r="E14" s="2" t="s">
        <v>32</v>
      </c>
      <c r="F14" s="2" t="s">
        <v>24</v>
      </c>
      <c r="G14" s="2" t="s">
        <v>25</v>
      </c>
      <c r="H14" s="2" t="s">
        <v>20</v>
      </c>
      <c r="I14" s="2" t="s">
        <v>21</v>
      </c>
      <c r="J14" s="2" t="s">
        <v>27</v>
      </c>
      <c r="K14" s="2">
        <v>3</v>
      </c>
      <c r="L14" s="3">
        <v>420</v>
      </c>
      <c r="M14" s="3">
        <v>769</v>
      </c>
      <c r="N14" s="3">
        <v>1047</v>
      </c>
      <c r="O14" s="3">
        <v>1260</v>
      </c>
      <c r="P14" s="3">
        <v>2307</v>
      </c>
      <c r="Q14" s="18">
        <f>Table1[[#This Row],[ Profit ]]/Table1[[#This Row],[Revenue]]</f>
        <v>0.45383615084525358</v>
      </c>
      <c r="R14" s="21">
        <v>0.45383615084525358</v>
      </c>
    </row>
    <row r="15" spans="1:18" x14ac:dyDescent="0.45">
      <c r="A15" s="5">
        <v>261708</v>
      </c>
      <c r="B15" s="4">
        <v>44536</v>
      </c>
      <c r="C15" s="5">
        <v>27</v>
      </c>
      <c r="D15" s="5" t="s">
        <v>23</v>
      </c>
      <c r="E15" s="5" t="s">
        <v>28</v>
      </c>
      <c r="F15" s="5" t="s">
        <v>37</v>
      </c>
      <c r="G15" s="5" t="s">
        <v>38</v>
      </c>
      <c r="H15" s="5" t="s">
        <v>20</v>
      </c>
      <c r="I15" s="5" t="s">
        <v>21</v>
      </c>
      <c r="J15" s="5" t="s">
        <v>22</v>
      </c>
      <c r="K15" s="5">
        <v>1</v>
      </c>
      <c r="L15" s="6">
        <v>1252</v>
      </c>
      <c r="M15" s="6">
        <v>2295</v>
      </c>
      <c r="N15" s="6">
        <v>1043</v>
      </c>
      <c r="O15" s="6">
        <v>1252</v>
      </c>
      <c r="P15" s="6">
        <v>2295</v>
      </c>
      <c r="Q15" s="18">
        <f>Table1[[#This Row],[ Profit ]]/Table1[[#This Row],[Revenue]]</f>
        <v>0.45446623093681915</v>
      </c>
      <c r="R15" s="21">
        <v>0.45446623093681915</v>
      </c>
    </row>
    <row r="16" spans="1:18" x14ac:dyDescent="0.45">
      <c r="A16" s="2">
        <v>261710</v>
      </c>
      <c r="B16" s="1">
        <v>44536</v>
      </c>
      <c r="C16" s="2">
        <v>47</v>
      </c>
      <c r="D16" s="2" t="s">
        <v>23</v>
      </c>
      <c r="E16" s="2" t="s">
        <v>17</v>
      </c>
      <c r="F16" s="2" t="s">
        <v>24</v>
      </c>
      <c r="G16" s="2" t="s">
        <v>25</v>
      </c>
      <c r="H16" s="2" t="s">
        <v>20</v>
      </c>
      <c r="I16" s="2" t="s">
        <v>21</v>
      </c>
      <c r="J16" s="2" t="s">
        <v>36</v>
      </c>
      <c r="K16" s="2">
        <v>1</v>
      </c>
      <c r="L16" s="3">
        <v>1266</v>
      </c>
      <c r="M16" s="3">
        <v>2320</v>
      </c>
      <c r="N16" s="3">
        <v>1054</v>
      </c>
      <c r="O16" s="3">
        <v>1266</v>
      </c>
      <c r="P16" s="3">
        <v>2320</v>
      </c>
      <c r="Q16" s="18">
        <f>Table1[[#This Row],[ Profit ]]/Table1[[#This Row],[Revenue]]</f>
        <v>0.4543103448275862</v>
      </c>
      <c r="R16" s="21">
        <v>0.4543103448275862</v>
      </c>
    </row>
    <row r="17" spans="1:18" x14ac:dyDescent="0.45">
      <c r="A17" s="5">
        <v>261711</v>
      </c>
      <c r="B17" s="4">
        <v>44537</v>
      </c>
      <c r="C17" s="5">
        <v>30</v>
      </c>
      <c r="D17" s="5" t="s">
        <v>23</v>
      </c>
      <c r="E17" s="5" t="s">
        <v>28</v>
      </c>
      <c r="F17" s="5" t="s">
        <v>18</v>
      </c>
      <c r="G17" s="5" t="s">
        <v>19</v>
      </c>
      <c r="H17" s="5" t="s">
        <v>20</v>
      </c>
      <c r="I17" s="5" t="s">
        <v>21</v>
      </c>
      <c r="J17" s="5" t="s">
        <v>39</v>
      </c>
      <c r="K17" s="5">
        <v>4</v>
      </c>
      <c r="L17" s="6">
        <v>420</v>
      </c>
      <c r="M17" s="6">
        <v>769</v>
      </c>
      <c r="N17" s="6">
        <v>1396</v>
      </c>
      <c r="O17" s="6">
        <v>1680</v>
      </c>
      <c r="P17" s="6">
        <v>3076</v>
      </c>
      <c r="Q17" s="18">
        <f>Table1[[#This Row],[ Profit ]]/Table1[[#This Row],[Revenue]]</f>
        <v>0.45383615084525358</v>
      </c>
      <c r="R17" s="21">
        <v>0.45383615084525358</v>
      </c>
    </row>
    <row r="18" spans="1:18" x14ac:dyDescent="0.45">
      <c r="A18" s="2">
        <v>261712</v>
      </c>
      <c r="B18" s="1">
        <v>44537</v>
      </c>
      <c r="C18" s="2">
        <v>38</v>
      </c>
      <c r="D18" s="2" t="s">
        <v>23</v>
      </c>
      <c r="E18" s="2" t="s">
        <v>17</v>
      </c>
      <c r="F18" s="2" t="s">
        <v>18</v>
      </c>
      <c r="G18" s="2" t="s">
        <v>19</v>
      </c>
      <c r="H18" s="2" t="s">
        <v>20</v>
      </c>
      <c r="I18" s="2" t="s">
        <v>21</v>
      </c>
      <c r="J18" s="2" t="s">
        <v>26</v>
      </c>
      <c r="K18" s="2">
        <v>2</v>
      </c>
      <c r="L18" s="3">
        <v>1266</v>
      </c>
      <c r="M18" s="3">
        <v>2320</v>
      </c>
      <c r="N18" s="3">
        <v>2108</v>
      </c>
      <c r="O18" s="3">
        <v>2532</v>
      </c>
      <c r="P18" s="3">
        <v>4640</v>
      </c>
      <c r="Q18" s="18">
        <f>Table1[[#This Row],[ Profit ]]/Table1[[#This Row],[Revenue]]</f>
        <v>0.4543103448275862</v>
      </c>
      <c r="R18" s="21">
        <v>0.4543103448275862</v>
      </c>
    </row>
    <row r="19" spans="1:18" x14ac:dyDescent="0.45">
      <c r="A19" s="5">
        <v>261713</v>
      </c>
      <c r="B19" s="4">
        <v>44538</v>
      </c>
      <c r="C19" s="5">
        <v>19</v>
      </c>
      <c r="D19" s="5" t="s">
        <v>16</v>
      </c>
      <c r="E19" s="5" t="s">
        <v>32</v>
      </c>
      <c r="F19" s="5" t="s">
        <v>29</v>
      </c>
      <c r="G19" s="5" t="s">
        <v>30</v>
      </c>
      <c r="H19" s="5" t="s">
        <v>20</v>
      </c>
      <c r="I19" s="5" t="s">
        <v>21</v>
      </c>
      <c r="J19" s="5" t="s">
        <v>40</v>
      </c>
      <c r="K19" s="5">
        <v>4</v>
      </c>
      <c r="L19" s="6">
        <v>308</v>
      </c>
      <c r="M19" s="6">
        <v>565</v>
      </c>
      <c r="N19" s="6">
        <v>1028</v>
      </c>
      <c r="O19" s="6">
        <v>1232</v>
      </c>
      <c r="P19" s="6">
        <v>2260</v>
      </c>
      <c r="Q19" s="16">
        <f>Table1[[#This Row],[ Profit ]]/Table1[[#This Row],[Revenue]]</f>
        <v>0.45486725663716815</v>
      </c>
      <c r="R19" s="21">
        <v>0.45486725663716815</v>
      </c>
    </row>
    <row r="20" spans="1:18" x14ac:dyDescent="0.45">
      <c r="A20" s="2">
        <v>261714</v>
      </c>
      <c r="B20" s="1">
        <v>44538</v>
      </c>
      <c r="C20" s="2">
        <v>30</v>
      </c>
      <c r="D20" s="2" t="s">
        <v>16</v>
      </c>
      <c r="E20" s="2" t="s">
        <v>28</v>
      </c>
      <c r="F20" s="2" t="s">
        <v>37</v>
      </c>
      <c r="G20" s="2" t="s">
        <v>38</v>
      </c>
      <c r="H20" s="2" t="s">
        <v>20</v>
      </c>
      <c r="I20" s="2" t="s">
        <v>21</v>
      </c>
      <c r="J20" s="2" t="s">
        <v>36</v>
      </c>
      <c r="K20" s="2">
        <v>4</v>
      </c>
      <c r="L20" s="3">
        <v>1266</v>
      </c>
      <c r="M20" s="3">
        <v>2320</v>
      </c>
      <c r="N20" s="3">
        <v>4216</v>
      </c>
      <c r="O20" s="3">
        <v>5064</v>
      </c>
      <c r="P20" s="3">
        <v>9280</v>
      </c>
      <c r="Q20" s="16">
        <f>Table1[[#This Row],[ Profit ]]/Table1[[#This Row],[Revenue]]</f>
        <v>0.4543103448275862</v>
      </c>
      <c r="R20" s="21">
        <v>0.4543103448275862</v>
      </c>
    </row>
    <row r="21" spans="1:18" x14ac:dyDescent="0.45">
      <c r="A21" s="5">
        <v>261717</v>
      </c>
      <c r="B21" s="4">
        <v>44539</v>
      </c>
      <c r="C21" s="5">
        <v>33</v>
      </c>
      <c r="D21" s="5" t="s">
        <v>16</v>
      </c>
      <c r="E21" s="5" t="s">
        <v>28</v>
      </c>
      <c r="F21" s="5" t="s">
        <v>29</v>
      </c>
      <c r="G21" s="5" t="s">
        <v>41</v>
      </c>
      <c r="H21" s="5" t="s">
        <v>20</v>
      </c>
      <c r="I21" s="5" t="s">
        <v>21</v>
      </c>
      <c r="J21" s="5" t="s">
        <v>42</v>
      </c>
      <c r="K21" s="5">
        <v>2</v>
      </c>
      <c r="L21" s="6">
        <v>1898</v>
      </c>
      <c r="M21" s="6">
        <v>3375</v>
      </c>
      <c r="N21" s="6">
        <v>2954</v>
      </c>
      <c r="O21" s="6">
        <v>3796</v>
      </c>
      <c r="P21" s="6">
        <v>6750</v>
      </c>
      <c r="Q21" s="16">
        <f>Table1[[#This Row],[ Profit ]]/Table1[[#This Row],[Revenue]]</f>
        <v>0.43762962962962965</v>
      </c>
      <c r="R21" s="21">
        <v>0.43762962962962965</v>
      </c>
    </row>
    <row r="22" spans="1:18" x14ac:dyDescent="0.45">
      <c r="A22" s="2">
        <v>261718</v>
      </c>
      <c r="B22" s="1">
        <v>44539</v>
      </c>
      <c r="C22" s="2">
        <v>41</v>
      </c>
      <c r="D22" s="2" t="s">
        <v>16</v>
      </c>
      <c r="E22" s="2" t="s">
        <v>17</v>
      </c>
      <c r="F22" s="2" t="s">
        <v>43</v>
      </c>
      <c r="G22" s="2" t="s">
        <v>44</v>
      </c>
      <c r="H22" s="2" t="s">
        <v>20</v>
      </c>
      <c r="I22" s="2" t="s">
        <v>21</v>
      </c>
      <c r="J22" s="2" t="s">
        <v>26</v>
      </c>
      <c r="K22" s="2">
        <v>1</v>
      </c>
      <c r="L22" s="3">
        <v>1266</v>
      </c>
      <c r="M22" s="3">
        <v>2320</v>
      </c>
      <c r="N22" s="3">
        <v>1054</v>
      </c>
      <c r="O22" s="3">
        <v>1266</v>
      </c>
      <c r="P22" s="3">
        <v>2320</v>
      </c>
      <c r="Q22" s="16">
        <f>Table1[[#This Row],[ Profit ]]/Table1[[#This Row],[Revenue]]</f>
        <v>0.4543103448275862</v>
      </c>
      <c r="R22" s="21">
        <v>0.4543103448275862</v>
      </c>
    </row>
    <row r="23" spans="1:18" x14ac:dyDescent="0.45">
      <c r="A23" s="5">
        <v>261719</v>
      </c>
      <c r="B23" s="4">
        <v>44540</v>
      </c>
      <c r="C23" s="5">
        <v>34</v>
      </c>
      <c r="D23" s="5" t="s">
        <v>16</v>
      </c>
      <c r="E23" s="5" t="s">
        <v>17</v>
      </c>
      <c r="F23" s="5" t="s">
        <v>18</v>
      </c>
      <c r="G23" s="5" t="s">
        <v>19</v>
      </c>
      <c r="H23" s="5" t="s">
        <v>20</v>
      </c>
      <c r="I23" s="5" t="s">
        <v>21</v>
      </c>
      <c r="J23" s="5" t="s">
        <v>45</v>
      </c>
      <c r="K23" s="5">
        <v>2</v>
      </c>
      <c r="L23" s="6">
        <v>1252</v>
      </c>
      <c r="M23" s="6">
        <v>2295</v>
      </c>
      <c r="N23" s="6">
        <v>2086</v>
      </c>
      <c r="O23" s="6">
        <v>2504</v>
      </c>
      <c r="P23" s="6">
        <v>4590</v>
      </c>
      <c r="Q23" s="16">
        <f>Table1[[#This Row],[ Profit ]]/Table1[[#This Row],[Revenue]]</f>
        <v>0.45446623093681915</v>
      </c>
      <c r="R23" s="21">
        <v>0.45446623093681915</v>
      </c>
    </row>
    <row r="24" spans="1:18" x14ac:dyDescent="0.45">
      <c r="A24" s="2">
        <v>261720</v>
      </c>
      <c r="B24" s="1">
        <v>44540</v>
      </c>
      <c r="C24" s="2">
        <v>40</v>
      </c>
      <c r="D24" s="2" t="s">
        <v>23</v>
      </c>
      <c r="E24" s="2" t="s">
        <v>17</v>
      </c>
      <c r="F24" s="2" t="s">
        <v>29</v>
      </c>
      <c r="G24" s="2" t="s">
        <v>30</v>
      </c>
      <c r="H24" s="2" t="s">
        <v>20</v>
      </c>
      <c r="I24" s="2" t="s">
        <v>21</v>
      </c>
      <c r="J24" s="2" t="s">
        <v>45</v>
      </c>
      <c r="K24" s="2">
        <v>2</v>
      </c>
      <c r="L24" s="3">
        <v>1252</v>
      </c>
      <c r="M24" s="3">
        <v>2295</v>
      </c>
      <c r="N24" s="3">
        <v>2086</v>
      </c>
      <c r="O24" s="3">
        <v>2504</v>
      </c>
      <c r="P24" s="3">
        <v>4590</v>
      </c>
      <c r="Q24" s="18">
        <f>Table1[[#This Row],[ Profit ]]/Table1[[#This Row],[Revenue]]</f>
        <v>0.45446623093681915</v>
      </c>
      <c r="R24" s="21">
        <v>0.45446623093681915</v>
      </c>
    </row>
    <row r="25" spans="1:18" x14ac:dyDescent="0.45">
      <c r="A25" s="5">
        <v>261721</v>
      </c>
      <c r="B25" s="4">
        <v>44540</v>
      </c>
      <c r="C25" s="5">
        <v>26</v>
      </c>
      <c r="D25" s="5" t="s">
        <v>23</v>
      </c>
      <c r="E25" s="5" t="s">
        <v>28</v>
      </c>
      <c r="F25" s="5" t="s">
        <v>24</v>
      </c>
      <c r="G25" s="5" t="s">
        <v>25</v>
      </c>
      <c r="H25" s="5" t="s">
        <v>20</v>
      </c>
      <c r="I25" s="5" t="s">
        <v>21</v>
      </c>
      <c r="J25" s="5" t="s">
        <v>33</v>
      </c>
      <c r="K25" s="5">
        <v>1</v>
      </c>
      <c r="L25" s="6">
        <v>1252</v>
      </c>
      <c r="M25" s="6">
        <v>2295</v>
      </c>
      <c r="N25" s="6">
        <v>1043</v>
      </c>
      <c r="O25" s="6">
        <v>1252</v>
      </c>
      <c r="P25" s="6">
        <v>2295</v>
      </c>
      <c r="Q25" s="18">
        <f>Table1[[#This Row],[ Profit ]]/Table1[[#This Row],[Revenue]]</f>
        <v>0.45446623093681915</v>
      </c>
      <c r="R25" s="21">
        <v>0.45446623093681915</v>
      </c>
    </row>
    <row r="26" spans="1:18" x14ac:dyDescent="0.45">
      <c r="A26" s="2">
        <v>261722</v>
      </c>
      <c r="B26" s="1">
        <v>44540</v>
      </c>
      <c r="C26" s="2">
        <v>34</v>
      </c>
      <c r="D26" s="2" t="s">
        <v>23</v>
      </c>
      <c r="E26" s="2" t="s">
        <v>17</v>
      </c>
      <c r="F26" s="2" t="s">
        <v>18</v>
      </c>
      <c r="G26" s="2" t="s">
        <v>19</v>
      </c>
      <c r="H26" s="2" t="s">
        <v>20</v>
      </c>
      <c r="I26" s="2" t="s">
        <v>21</v>
      </c>
      <c r="J26" s="2" t="s">
        <v>46</v>
      </c>
      <c r="K26" s="2">
        <v>1</v>
      </c>
      <c r="L26" s="3">
        <v>295</v>
      </c>
      <c r="M26" s="3">
        <v>540</v>
      </c>
      <c r="N26" s="3">
        <v>245</v>
      </c>
      <c r="O26" s="3">
        <v>295</v>
      </c>
      <c r="P26" s="3">
        <v>540</v>
      </c>
      <c r="Q26" s="18">
        <f>Table1[[#This Row],[ Profit ]]/Table1[[#This Row],[Revenue]]</f>
        <v>0.45370370370370372</v>
      </c>
      <c r="R26" s="21">
        <v>0.45370370370370372</v>
      </c>
    </row>
    <row r="27" spans="1:18" x14ac:dyDescent="0.45">
      <c r="A27" s="5">
        <v>261723</v>
      </c>
      <c r="B27" s="4">
        <v>44540</v>
      </c>
      <c r="C27" s="5">
        <v>34</v>
      </c>
      <c r="D27" s="5" t="s">
        <v>16</v>
      </c>
      <c r="E27" s="5" t="s">
        <v>17</v>
      </c>
      <c r="F27" s="5" t="s">
        <v>18</v>
      </c>
      <c r="G27" s="5" t="s">
        <v>34</v>
      </c>
      <c r="H27" s="5" t="s">
        <v>20</v>
      </c>
      <c r="I27" s="5" t="s">
        <v>21</v>
      </c>
      <c r="J27" s="5" t="s">
        <v>47</v>
      </c>
      <c r="K27" s="5">
        <v>1</v>
      </c>
      <c r="L27" s="6">
        <v>1912</v>
      </c>
      <c r="M27" s="6">
        <v>3400</v>
      </c>
      <c r="N27" s="6">
        <v>1488</v>
      </c>
      <c r="O27" s="6">
        <v>1912</v>
      </c>
      <c r="P27" s="6">
        <v>3400</v>
      </c>
      <c r="Q27" s="16">
        <f>Table1[[#This Row],[ Profit ]]/Table1[[#This Row],[Revenue]]</f>
        <v>0.43764705882352939</v>
      </c>
      <c r="R27" s="21">
        <v>0.43764705882352939</v>
      </c>
    </row>
    <row r="28" spans="1:18" x14ac:dyDescent="0.45">
      <c r="A28" s="2">
        <v>261724</v>
      </c>
      <c r="B28" s="1">
        <v>44540</v>
      </c>
      <c r="C28" s="2">
        <v>38</v>
      </c>
      <c r="D28" s="2" t="s">
        <v>23</v>
      </c>
      <c r="E28" s="2" t="s">
        <v>17</v>
      </c>
      <c r="F28" s="2" t="s">
        <v>29</v>
      </c>
      <c r="G28" s="2" t="s">
        <v>30</v>
      </c>
      <c r="H28" s="2" t="s">
        <v>20</v>
      </c>
      <c r="I28" s="2" t="s">
        <v>21</v>
      </c>
      <c r="J28" s="2" t="s">
        <v>33</v>
      </c>
      <c r="K28" s="2">
        <v>1</v>
      </c>
      <c r="L28" s="3">
        <v>1252</v>
      </c>
      <c r="M28" s="3">
        <v>2295</v>
      </c>
      <c r="N28" s="3">
        <v>1043</v>
      </c>
      <c r="O28" s="3">
        <v>1252</v>
      </c>
      <c r="P28" s="3">
        <v>2295</v>
      </c>
      <c r="Q28" s="18">
        <f>Table1[[#This Row],[ Profit ]]/Table1[[#This Row],[Revenue]]</f>
        <v>0.45446623093681915</v>
      </c>
      <c r="R28" s="21">
        <v>0.45446623093681915</v>
      </c>
    </row>
    <row r="29" spans="1:18" x14ac:dyDescent="0.45">
      <c r="A29" s="5">
        <v>261725</v>
      </c>
      <c r="B29" s="4">
        <v>44541</v>
      </c>
      <c r="C29" s="5">
        <v>24</v>
      </c>
      <c r="D29" s="5" t="s">
        <v>16</v>
      </c>
      <c r="E29" s="5" t="s">
        <v>32</v>
      </c>
      <c r="F29" s="5" t="s">
        <v>48</v>
      </c>
      <c r="G29" s="5" t="s">
        <v>49</v>
      </c>
      <c r="H29" s="5" t="s">
        <v>20</v>
      </c>
      <c r="I29" s="5" t="s">
        <v>21</v>
      </c>
      <c r="J29" s="5" t="s">
        <v>33</v>
      </c>
      <c r="K29" s="5">
        <v>3</v>
      </c>
      <c r="L29" s="6">
        <v>1252</v>
      </c>
      <c r="M29" s="6">
        <v>2295</v>
      </c>
      <c r="N29" s="6">
        <v>3129</v>
      </c>
      <c r="O29" s="6">
        <v>3756</v>
      </c>
      <c r="P29" s="6">
        <v>6885</v>
      </c>
      <c r="Q29" s="16">
        <f>Table1[[#This Row],[ Profit ]]/Table1[[#This Row],[Revenue]]</f>
        <v>0.45446623093681915</v>
      </c>
      <c r="R29" s="21">
        <v>0.45446623093681915</v>
      </c>
    </row>
    <row r="30" spans="1:18" x14ac:dyDescent="0.45">
      <c r="A30" s="2">
        <v>261726</v>
      </c>
      <c r="B30" s="1">
        <v>44541</v>
      </c>
      <c r="C30" s="2">
        <v>41</v>
      </c>
      <c r="D30" s="2" t="s">
        <v>16</v>
      </c>
      <c r="E30" s="2" t="s">
        <v>17</v>
      </c>
      <c r="F30" s="2" t="s">
        <v>29</v>
      </c>
      <c r="G30" s="2" t="s">
        <v>30</v>
      </c>
      <c r="H30" s="2" t="s">
        <v>20</v>
      </c>
      <c r="I30" s="2" t="s">
        <v>21</v>
      </c>
      <c r="J30" s="2" t="s">
        <v>39</v>
      </c>
      <c r="K30" s="2">
        <v>2</v>
      </c>
      <c r="L30" s="3">
        <v>420</v>
      </c>
      <c r="M30" s="3">
        <v>769</v>
      </c>
      <c r="N30" s="3">
        <v>698</v>
      </c>
      <c r="O30" s="3">
        <v>840</v>
      </c>
      <c r="P30" s="3">
        <v>1538</v>
      </c>
      <c r="Q30" s="16">
        <f>Table1[[#This Row],[ Profit ]]/Table1[[#This Row],[Revenue]]</f>
        <v>0.45383615084525358</v>
      </c>
      <c r="R30" s="21">
        <v>0.45383615084525358</v>
      </c>
    </row>
    <row r="31" spans="1:18" x14ac:dyDescent="0.45">
      <c r="A31" s="5">
        <v>261727</v>
      </c>
      <c r="B31" s="4">
        <v>44541</v>
      </c>
      <c r="C31" s="5">
        <v>27</v>
      </c>
      <c r="D31" s="5" t="s">
        <v>23</v>
      </c>
      <c r="E31" s="5" t="s">
        <v>28</v>
      </c>
      <c r="F31" s="5" t="s">
        <v>37</v>
      </c>
      <c r="G31" s="5" t="s">
        <v>38</v>
      </c>
      <c r="H31" s="5" t="s">
        <v>20</v>
      </c>
      <c r="I31" s="5" t="s">
        <v>21</v>
      </c>
      <c r="J31" s="5" t="s">
        <v>22</v>
      </c>
      <c r="K31" s="5">
        <v>1</v>
      </c>
      <c r="L31" s="6">
        <v>1252</v>
      </c>
      <c r="M31" s="6">
        <v>2295</v>
      </c>
      <c r="N31" s="6">
        <v>1043</v>
      </c>
      <c r="O31" s="6">
        <v>1252</v>
      </c>
      <c r="P31" s="6">
        <v>2295</v>
      </c>
      <c r="Q31" s="18">
        <f>Table1[[#This Row],[ Profit ]]/Table1[[#This Row],[Revenue]]</f>
        <v>0.45446623093681915</v>
      </c>
      <c r="R31" s="21">
        <v>0.45446623093681915</v>
      </c>
    </row>
    <row r="32" spans="1:18" x14ac:dyDescent="0.45">
      <c r="A32" s="2">
        <v>261728</v>
      </c>
      <c r="B32" s="1">
        <v>44541</v>
      </c>
      <c r="C32" s="2">
        <v>37</v>
      </c>
      <c r="D32" s="2" t="s">
        <v>23</v>
      </c>
      <c r="E32" s="2" t="s">
        <v>17</v>
      </c>
      <c r="F32" s="2" t="s">
        <v>18</v>
      </c>
      <c r="G32" s="2" t="s">
        <v>19</v>
      </c>
      <c r="H32" s="2" t="s">
        <v>20</v>
      </c>
      <c r="I32" s="2" t="s">
        <v>21</v>
      </c>
      <c r="J32" s="2" t="s">
        <v>27</v>
      </c>
      <c r="K32" s="2">
        <v>1</v>
      </c>
      <c r="L32" s="3">
        <v>420</v>
      </c>
      <c r="M32" s="3">
        <v>769</v>
      </c>
      <c r="N32" s="3">
        <v>349</v>
      </c>
      <c r="O32" s="3">
        <v>420</v>
      </c>
      <c r="P32" s="3">
        <v>769</v>
      </c>
      <c r="Q32" s="18">
        <f>Table1[[#This Row],[ Profit ]]/Table1[[#This Row],[Revenue]]</f>
        <v>0.45383615084525358</v>
      </c>
      <c r="R32" s="21">
        <v>0.45383615084525358</v>
      </c>
    </row>
    <row r="33" spans="1:18" x14ac:dyDescent="0.45">
      <c r="A33" s="5">
        <v>261729</v>
      </c>
      <c r="B33" s="4">
        <v>44541</v>
      </c>
      <c r="C33" s="5">
        <v>38</v>
      </c>
      <c r="D33" s="5" t="s">
        <v>16</v>
      </c>
      <c r="E33" s="5" t="s">
        <v>17</v>
      </c>
      <c r="F33" s="5" t="s">
        <v>18</v>
      </c>
      <c r="G33" s="5" t="s">
        <v>19</v>
      </c>
      <c r="H33" s="5" t="s">
        <v>20</v>
      </c>
      <c r="I33" s="5" t="s">
        <v>21</v>
      </c>
      <c r="J33" s="5" t="s">
        <v>36</v>
      </c>
      <c r="K33" s="5">
        <v>1</v>
      </c>
      <c r="L33" s="6">
        <v>1266</v>
      </c>
      <c r="M33" s="6">
        <v>2320</v>
      </c>
      <c r="N33" s="6">
        <v>1054</v>
      </c>
      <c r="O33" s="6">
        <v>1266</v>
      </c>
      <c r="P33" s="6">
        <v>2320</v>
      </c>
      <c r="Q33" s="16">
        <f>Table1[[#This Row],[ Profit ]]/Table1[[#This Row],[Revenue]]</f>
        <v>0.4543103448275862</v>
      </c>
      <c r="R33" s="21">
        <v>0.4543103448275862</v>
      </c>
    </row>
    <row r="34" spans="1:18" x14ac:dyDescent="0.45">
      <c r="A34" s="2">
        <v>261730</v>
      </c>
      <c r="B34" s="1">
        <v>44542</v>
      </c>
      <c r="C34" s="2">
        <v>36</v>
      </c>
      <c r="D34" s="2" t="s">
        <v>16</v>
      </c>
      <c r="E34" s="2" t="s">
        <v>17</v>
      </c>
      <c r="F34" s="2" t="s">
        <v>29</v>
      </c>
      <c r="G34" s="2" t="s">
        <v>30</v>
      </c>
      <c r="H34" s="2" t="s">
        <v>20</v>
      </c>
      <c r="I34" s="2" t="s">
        <v>21</v>
      </c>
      <c r="J34" s="2" t="s">
        <v>26</v>
      </c>
      <c r="K34" s="2">
        <v>4</v>
      </c>
      <c r="L34" s="3">
        <v>1266</v>
      </c>
      <c r="M34" s="3">
        <v>2320</v>
      </c>
      <c r="N34" s="3">
        <v>4216</v>
      </c>
      <c r="O34" s="3">
        <v>5064</v>
      </c>
      <c r="P34" s="3">
        <v>9280</v>
      </c>
      <c r="Q34" s="16">
        <f>Table1[[#This Row],[ Profit ]]/Table1[[#This Row],[Revenue]]</f>
        <v>0.4543103448275862</v>
      </c>
      <c r="R34" s="21">
        <v>0.4543103448275862</v>
      </c>
    </row>
    <row r="35" spans="1:18" x14ac:dyDescent="0.45">
      <c r="A35" s="5">
        <v>261731</v>
      </c>
      <c r="B35" s="4">
        <v>44542</v>
      </c>
      <c r="C35" s="5">
        <v>37</v>
      </c>
      <c r="D35" s="5" t="s">
        <v>23</v>
      </c>
      <c r="E35" s="5" t="s">
        <v>17</v>
      </c>
      <c r="F35" s="5" t="s">
        <v>18</v>
      </c>
      <c r="G35" s="5" t="s">
        <v>19</v>
      </c>
      <c r="H35" s="5" t="s">
        <v>20</v>
      </c>
      <c r="I35" s="5" t="s">
        <v>21</v>
      </c>
      <c r="J35" s="5" t="s">
        <v>27</v>
      </c>
      <c r="K35" s="5">
        <v>4</v>
      </c>
      <c r="L35" s="6">
        <v>420</v>
      </c>
      <c r="M35" s="6">
        <v>769</v>
      </c>
      <c r="N35" s="6">
        <v>1396</v>
      </c>
      <c r="O35" s="6">
        <v>1680</v>
      </c>
      <c r="P35" s="6">
        <v>3076</v>
      </c>
      <c r="Q35" s="18">
        <f>Table1[[#This Row],[ Profit ]]/Table1[[#This Row],[Revenue]]</f>
        <v>0.45383615084525358</v>
      </c>
      <c r="R35" s="21">
        <v>0.45383615084525358</v>
      </c>
    </row>
    <row r="36" spans="1:18" x14ac:dyDescent="0.45">
      <c r="A36" s="2">
        <v>261732</v>
      </c>
      <c r="B36" s="1">
        <v>44542</v>
      </c>
      <c r="C36" s="2">
        <v>34</v>
      </c>
      <c r="D36" s="2" t="s">
        <v>23</v>
      </c>
      <c r="E36" s="2" t="s">
        <v>17</v>
      </c>
      <c r="F36" s="2" t="s">
        <v>29</v>
      </c>
      <c r="G36" s="2" t="s">
        <v>30</v>
      </c>
      <c r="H36" s="2" t="s">
        <v>20</v>
      </c>
      <c r="I36" s="2" t="s">
        <v>21</v>
      </c>
      <c r="J36" s="2" t="s">
        <v>33</v>
      </c>
      <c r="K36" s="2">
        <v>2</v>
      </c>
      <c r="L36" s="3">
        <v>1252</v>
      </c>
      <c r="M36" s="3">
        <v>2295</v>
      </c>
      <c r="N36" s="3">
        <v>2086</v>
      </c>
      <c r="O36" s="3">
        <v>2504</v>
      </c>
      <c r="P36" s="3">
        <v>4590</v>
      </c>
      <c r="Q36" s="18">
        <f>Table1[[#This Row],[ Profit ]]/Table1[[#This Row],[Revenue]]</f>
        <v>0.45446623093681915</v>
      </c>
      <c r="R36" s="21">
        <v>0.45446623093681915</v>
      </c>
    </row>
    <row r="37" spans="1:18" x14ac:dyDescent="0.45">
      <c r="A37" s="5">
        <v>261733</v>
      </c>
      <c r="B37" s="4">
        <v>44542</v>
      </c>
      <c r="C37" s="5">
        <v>35</v>
      </c>
      <c r="D37" s="5" t="s">
        <v>16</v>
      </c>
      <c r="E37" s="5" t="s">
        <v>17</v>
      </c>
      <c r="F37" s="5" t="s">
        <v>29</v>
      </c>
      <c r="G37" s="5" t="s">
        <v>41</v>
      </c>
      <c r="H37" s="5" t="s">
        <v>20</v>
      </c>
      <c r="I37" s="5" t="s">
        <v>21</v>
      </c>
      <c r="J37" s="5" t="s">
        <v>26</v>
      </c>
      <c r="K37" s="5">
        <v>1</v>
      </c>
      <c r="L37" s="6">
        <v>1266</v>
      </c>
      <c r="M37" s="6">
        <v>2320</v>
      </c>
      <c r="N37" s="6">
        <v>1054</v>
      </c>
      <c r="O37" s="6">
        <v>1266</v>
      </c>
      <c r="P37" s="6">
        <v>2320</v>
      </c>
      <c r="Q37" s="16">
        <f>Table1[[#This Row],[ Profit ]]/Table1[[#This Row],[Revenue]]</f>
        <v>0.4543103448275862</v>
      </c>
      <c r="R37" s="21">
        <v>0.4543103448275862</v>
      </c>
    </row>
    <row r="38" spans="1:18" x14ac:dyDescent="0.45">
      <c r="A38" s="2">
        <v>261734</v>
      </c>
      <c r="B38" s="1">
        <v>44542</v>
      </c>
      <c r="C38" s="2">
        <v>38</v>
      </c>
      <c r="D38" s="2" t="s">
        <v>16</v>
      </c>
      <c r="E38" s="2" t="s">
        <v>17</v>
      </c>
      <c r="F38" s="2" t="s">
        <v>18</v>
      </c>
      <c r="G38" s="2" t="s">
        <v>34</v>
      </c>
      <c r="H38" s="2" t="s">
        <v>20</v>
      </c>
      <c r="I38" s="2" t="s">
        <v>21</v>
      </c>
      <c r="J38" s="2" t="s">
        <v>26</v>
      </c>
      <c r="K38" s="2">
        <v>1</v>
      </c>
      <c r="L38" s="3">
        <v>1266</v>
      </c>
      <c r="M38" s="3">
        <v>2320</v>
      </c>
      <c r="N38" s="3">
        <v>1054</v>
      </c>
      <c r="O38" s="3">
        <v>1266</v>
      </c>
      <c r="P38" s="3">
        <v>2320</v>
      </c>
      <c r="Q38" s="16">
        <f>Table1[[#This Row],[ Profit ]]/Table1[[#This Row],[Revenue]]</f>
        <v>0.4543103448275862</v>
      </c>
      <c r="R38" s="21">
        <v>0.4543103448275862</v>
      </c>
    </row>
    <row r="39" spans="1:18" x14ac:dyDescent="0.45">
      <c r="A39" s="5">
        <v>261735</v>
      </c>
      <c r="B39" s="4">
        <v>44543</v>
      </c>
      <c r="C39" s="5">
        <v>32</v>
      </c>
      <c r="D39" s="5" t="s">
        <v>16</v>
      </c>
      <c r="E39" s="5" t="s">
        <v>28</v>
      </c>
      <c r="F39" s="5" t="s">
        <v>29</v>
      </c>
      <c r="G39" s="5" t="s">
        <v>35</v>
      </c>
      <c r="H39" s="5" t="s">
        <v>20</v>
      </c>
      <c r="I39" s="5" t="s">
        <v>21</v>
      </c>
      <c r="J39" s="5" t="s">
        <v>26</v>
      </c>
      <c r="K39" s="5">
        <v>3</v>
      </c>
      <c r="L39" s="6">
        <v>1266</v>
      </c>
      <c r="M39" s="6">
        <v>2320</v>
      </c>
      <c r="N39" s="6">
        <v>3162</v>
      </c>
      <c r="O39" s="6">
        <v>3798</v>
      </c>
      <c r="P39" s="6">
        <v>6960</v>
      </c>
      <c r="Q39" s="16">
        <f>Table1[[#This Row],[ Profit ]]/Table1[[#This Row],[Revenue]]</f>
        <v>0.4543103448275862</v>
      </c>
      <c r="R39" s="21">
        <v>0.4543103448275862</v>
      </c>
    </row>
    <row r="40" spans="1:18" x14ac:dyDescent="0.45">
      <c r="A40" s="2">
        <v>261736</v>
      </c>
      <c r="B40" s="1">
        <v>44543</v>
      </c>
      <c r="C40" s="2">
        <v>40</v>
      </c>
      <c r="D40" s="2" t="s">
        <v>16</v>
      </c>
      <c r="E40" s="2" t="s">
        <v>17</v>
      </c>
      <c r="F40" s="2" t="s">
        <v>18</v>
      </c>
      <c r="G40" s="2" t="s">
        <v>19</v>
      </c>
      <c r="H40" s="2" t="s">
        <v>20</v>
      </c>
      <c r="I40" s="2" t="s">
        <v>21</v>
      </c>
      <c r="J40" s="2" t="s">
        <v>50</v>
      </c>
      <c r="K40" s="2">
        <v>1</v>
      </c>
      <c r="L40" s="3">
        <v>308</v>
      </c>
      <c r="M40" s="3">
        <v>565</v>
      </c>
      <c r="N40" s="3">
        <v>257</v>
      </c>
      <c r="O40" s="3">
        <v>308</v>
      </c>
      <c r="P40" s="3">
        <v>565</v>
      </c>
      <c r="Q40" s="16">
        <f>Table1[[#This Row],[ Profit ]]/Table1[[#This Row],[Revenue]]</f>
        <v>0.45486725663716815</v>
      </c>
      <c r="R40" s="21">
        <v>0.45486725663716815</v>
      </c>
    </row>
    <row r="41" spans="1:18" x14ac:dyDescent="0.45">
      <c r="A41" s="5">
        <v>261737</v>
      </c>
      <c r="B41" s="4">
        <v>44543</v>
      </c>
      <c r="C41" s="5">
        <v>44</v>
      </c>
      <c r="D41" s="5" t="s">
        <v>16</v>
      </c>
      <c r="E41" s="5" t="s">
        <v>17</v>
      </c>
      <c r="F41" s="5" t="s">
        <v>24</v>
      </c>
      <c r="G41" s="5" t="s">
        <v>25</v>
      </c>
      <c r="H41" s="5" t="s">
        <v>20</v>
      </c>
      <c r="I41" s="5" t="s">
        <v>21</v>
      </c>
      <c r="J41" s="5" t="s">
        <v>33</v>
      </c>
      <c r="K41" s="5">
        <v>1</v>
      </c>
      <c r="L41" s="6">
        <v>1252</v>
      </c>
      <c r="M41" s="6">
        <v>2295</v>
      </c>
      <c r="N41" s="6">
        <v>1043</v>
      </c>
      <c r="O41" s="6">
        <v>1252</v>
      </c>
      <c r="P41" s="6">
        <v>2295</v>
      </c>
      <c r="Q41" s="16">
        <f>Table1[[#This Row],[ Profit ]]/Table1[[#This Row],[Revenue]]</f>
        <v>0.45446623093681915</v>
      </c>
      <c r="R41" s="21">
        <v>0.45446623093681915</v>
      </c>
    </row>
    <row r="42" spans="1:18" x14ac:dyDescent="0.45">
      <c r="A42" s="2">
        <v>261738</v>
      </c>
      <c r="B42" s="1">
        <v>44543</v>
      </c>
      <c r="C42" s="2">
        <v>49</v>
      </c>
      <c r="D42" s="2" t="s">
        <v>23</v>
      </c>
      <c r="E42" s="2" t="s">
        <v>17</v>
      </c>
      <c r="F42" s="2" t="s">
        <v>24</v>
      </c>
      <c r="G42" s="2" t="s">
        <v>25</v>
      </c>
      <c r="H42" s="2" t="s">
        <v>20</v>
      </c>
      <c r="I42" s="2" t="s">
        <v>21</v>
      </c>
      <c r="J42" s="2" t="s">
        <v>33</v>
      </c>
      <c r="K42" s="2">
        <v>1</v>
      </c>
      <c r="L42" s="3">
        <v>1252</v>
      </c>
      <c r="M42" s="3">
        <v>2295</v>
      </c>
      <c r="N42" s="3">
        <v>1043</v>
      </c>
      <c r="O42" s="3">
        <v>1252</v>
      </c>
      <c r="P42" s="3">
        <v>2295</v>
      </c>
      <c r="Q42" s="18">
        <f>Table1[[#This Row],[ Profit ]]/Table1[[#This Row],[Revenue]]</f>
        <v>0.45446623093681915</v>
      </c>
      <c r="R42" s="21">
        <v>0.45446623093681915</v>
      </c>
    </row>
    <row r="43" spans="1:18" x14ac:dyDescent="0.45">
      <c r="A43" s="5">
        <v>261739</v>
      </c>
      <c r="B43" s="4">
        <v>44544</v>
      </c>
      <c r="C43" s="5">
        <v>30</v>
      </c>
      <c r="D43" s="5" t="s">
        <v>16</v>
      </c>
      <c r="E43" s="5" t="s">
        <v>28</v>
      </c>
      <c r="F43" s="5" t="s">
        <v>18</v>
      </c>
      <c r="G43" s="5" t="s">
        <v>34</v>
      </c>
      <c r="H43" s="5" t="s">
        <v>20</v>
      </c>
      <c r="I43" s="5" t="s">
        <v>21</v>
      </c>
      <c r="J43" s="5" t="s">
        <v>36</v>
      </c>
      <c r="K43" s="5">
        <v>2</v>
      </c>
      <c r="L43" s="6">
        <v>1266</v>
      </c>
      <c r="M43" s="6">
        <v>2320</v>
      </c>
      <c r="N43" s="6">
        <v>2108</v>
      </c>
      <c r="O43" s="6">
        <v>2532</v>
      </c>
      <c r="P43" s="6">
        <v>4640</v>
      </c>
      <c r="Q43" s="16">
        <f>Table1[[#This Row],[ Profit ]]/Table1[[#This Row],[Revenue]]</f>
        <v>0.4543103448275862</v>
      </c>
      <c r="R43" s="21">
        <v>0.4543103448275862</v>
      </c>
    </row>
    <row r="44" spans="1:18" x14ac:dyDescent="0.45">
      <c r="A44" s="2">
        <v>261740</v>
      </c>
      <c r="B44" s="1">
        <v>44544</v>
      </c>
      <c r="C44" s="2">
        <v>32</v>
      </c>
      <c r="D44" s="2" t="s">
        <v>23</v>
      </c>
      <c r="E44" s="2" t="s">
        <v>28</v>
      </c>
      <c r="F44" s="2" t="s">
        <v>18</v>
      </c>
      <c r="G44" s="2" t="s">
        <v>19</v>
      </c>
      <c r="H44" s="2" t="s">
        <v>20</v>
      </c>
      <c r="I44" s="2" t="s">
        <v>21</v>
      </c>
      <c r="J44" s="2" t="s">
        <v>22</v>
      </c>
      <c r="K44" s="2">
        <v>1</v>
      </c>
      <c r="L44" s="3">
        <v>1252</v>
      </c>
      <c r="M44" s="3">
        <v>2295</v>
      </c>
      <c r="N44" s="3">
        <v>1043</v>
      </c>
      <c r="O44" s="3">
        <v>1252</v>
      </c>
      <c r="P44" s="3">
        <v>2295</v>
      </c>
      <c r="Q44" s="18">
        <f>Table1[[#This Row],[ Profit ]]/Table1[[#This Row],[Revenue]]</f>
        <v>0.45446623093681915</v>
      </c>
      <c r="R44" s="21">
        <v>0.45446623093681915</v>
      </c>
    </row>
    <row r="45" spans="1:18" x14ac:dyDescent="0.45">
      <c r="A45" s="5">
        <v>261741</v>
      </c>
      <c r="B45" s="4">
        <v>44544</v>
      </c>
      <c r="C45" s="5">
        <v>32</v>
      </c>
      <c r="D45" s="5" t="s">
        <v>16</v>
      </c>
      <c r="E45" s="5" t="s">
        <v>28</v>
      </c>
      <c r="F45" s="5" t="s">
        <v>29</v>
      </c>
      <c r="G45" s="5" t="s">
        <v>41</v>
      </c>
      <c r="H45" s="5" t="s">
        <v>20</v>
      </c>
      <c r="I45" s="5" t="s">
        <v>21</v>
      </c>
      <c r="J45" s="5" t="s">
        <v>27</v>
      </c>
      <c r="K45" s="5">
        <v>1</v>
      </c>
      <c r="L45" s="6">
        <v>420</v>
      </c>
      <c r="M45" s="6">
        <v>769</v>
      </c>
      <c r="N45" s="6">
        <v>349</v>
      </c>
      <c r="O45" s="6">
        <v>420</v>
      </c>
      <c r="P45" s="6">
        <v>769</v>
      </c>
      <c r="Q45" s="16">
        <f>Table1[[#This Row],[ Profit ]]/Table1[[#This Row],[Revenue]]</f>
        <v>0.45383615084525358</v>
      </c>
      <c r="R45" s="21">
        <v>0.45383615084525358</v>
      </c>
    </row>
    <row r="46" spans="1:18" x14ac:dyDescent="0.45">
      <c r="A46" s="2">
        <v>261742</v>
      </c>
      <c r="B46" s="1">
        <v>44545</v>
      </c>
      <c r="C46" s="2">
        <v>29</v>
      </c>
      <c r="D46" s="2" t="s">
        <v>16</v>
      </c>
      <c r="E46" s="2" t="s">
        <v>28</v>
      </c>
      <c r="F46" s="2" t="s">
        <v>18</v>
      </c>
      <c r="G46" s="2" t="s">
        <v>19</v>
      </c>
      <c r="H46" s="2" t="s">
        <v>20</v>
      </c>
      <c r="I46" s="2" t="s">
        <v>21</v>
      </c>
      <c r="J46" s="2" t="s">
        <v>26</v>
      </c>
      <c r="K46" s="2">
        <v>1</v>
      </c>
      <c r="L46" s="3">
        <v>1266</v>
      </c>
      <c r="M46" s="3">
        <v>2320</v>
      </c>
      <c r="N46" s="3">
        <v>1054</v>
      </c>
      <c r="O46" s="3">
        <v>1266</v>
      </c>
      <c r="P46" s="3">
        <v>2320</v>
      </c>
      <c r="Q46" s="16">
        <f>Table1[[#This Row],[ Profit ]]/Table1[[#This Row],[Revenue]]</f>
        <v>0.4543103448275862</v>
      </c>
      <c r="R46" s="21">
        <v>0.4543103448275862</v>
      </c>
    </row>
    <row r="47" spans="1:18" x14ac:dyDescent="0.45">
      <c r="A47" s="5">
        <v>261743</v>
      </c>
      <c r="B47" s="4">
        <v>44546</v>
      </c>
      <c r="C47" s="5">
        <v>33</v>
      </c>
      <c r="D47" s="5" t="s">
        <v>16</v>
      </c>
      <c r="E47" s="5" t="s">
        <v>28</v>
      </c>
      <c r="F47" s="5" t="s">
        <v>29</v>
      </c>
      <c r="G47" s="5" t="s">
        <v>30</v>
      </c>
      <c r="H47" s="5" t="s">
        <v>20</v>
      </c>
      <c r="I47" s="5" t="s">
        <v>21</v>
      </c>
      <c r="J47" s="5" t="s">
        <v>33</v>
      </c>
      <c r="K47" s="5">
        <v>2</v>
      </c>
      <c r="L47" s="6">
        <v>1252</v>
      </c>
      <c r="M47" s="6">
        <v>2295</v>
      </c>
      <c r="N47" s="6">
        <v>2086</v>
      </c>
      <c r="O47" s="6">
        <v>2504</v>
      </c>
      <c r="P47" s="6">
        <v>4590</v>
      </c>
      <c r="Q47" s="16">
        <f>Table1[[#This Row],[ Profit ]]/Table1[[#This Row],[Revenue]]</f>
        <v>0.45446623093681915</v>
      </c>
      <c r="R47" s="21">
        <v>0.45446623093681915</v>
      </c>
    </row>
    <row r="48" spans="1:18" x14ac:dyDescent="0.45">
      <c r="A48" s="2">
        <v>261744</v>
      </c>
      <c r="B48" s="1">
        <v>44546</v>
      </c>
      <c r="C48" s="2">
        <v>38</v>
      </c>
      <c r="D48" s="2" t="s">
        <v>23</v>
      </c>
      <c r="E48" s="2" t="s">
        <v>17</v>
      </c>
      <c r="F48" s="2" t="s">
        <v>29</v>
      </c>
      <c r="G48" s="2" t="s">
        <v>30</v>
      </c>
      <c r="H48" s="2" t="s">
        <v>20</v>
      </c>
      <c r="I48" s="2" t="s">
        <v>21</v>
      </c>
      <c r="J48" s="2" t="s">
        <v>33</v>
      </c>
      <c r="K48" s="2">
        <v>2</v>
      </c>
      <c r="L48" s="3">
        <v>1252</v>
      </c>
      <c r="M48" s="3">
        <v>2295</v>
      </c>
      <c r="N48" s="3">
        <v>2086</v>
      </c>
      <c r="O48" s="3">
        <v>2504</v>
      </c>
      <c r="P48" s="3">
        <v>4590</v>
      </c>
      <c r="Q48" s="18">
        <f>Table1[[#This Row],[ Profit ]]/Table1[[#This Row],[Revenue]]</f>
        <v>0.45446623093681915</v>
      </c>
      <c r="R48" s="21">
        <v>0.45446623093681915</v>
      </c>
    </row>
    <row r="49" spans="1:18" x14ac:dyDescent="0.45">
      <c r="A49" s="5">
        <v>261745</v>
      </c>
      <c r="B49" s="4">
        <v>44546</v>
      </c>
      <c r="C49" s="5">
        <v>27</v>
      </c>
      <c r="D49" s="5" t="s">
        <v>16</v>
      </c>
      <c r="E49" s="5" t="s">
        <v>28</v>
      </c>
      <c r="F49" s="5" t="s">
        <v>48</v>
      </c>
      <c r="G49" s="5" t="s">
        <v>51</v>
      </c>
      <c r="H49" s="5" t="s">
        <v>20</v>
      </c>
      <c r="I49" s="5" t="s">
        <v>21</v>
      </c>
      <c r="J49" s="5" t="s">
        <v>52</v>
      </c>
      <c r="K49" s="5">
        <v>1</v>
      </c>
      <c r="L49" s="6">
        <v>1266</v>
      </c>
      <c r="M49" s="6">
        <v>2320</v>
      </c>
      <c r="N49" s="6">
        <v>1054</v>
      </c>
      <c r="O49" s="6">
        <v>1266</v>
      </c>
      <c r="P49" s="6">
        <v>2320</v>
      </c>
      <c r="Q49" s="16">
        <f>Table1[[#This Row],[ Profit ]]/Table1[[#This Row],[Revenue]]</f>
        <v>0.4543103448275862</v>
      </c>
      <c r="R49" s="21">
        <v>0.4543103448275862</v>
      </c>
    </row>
    <row r="50" spans="1:18" x14ac:dyDescent="0.45">
      <c r="A50" s="2">
        <v>261746</v>
      </c>
      <c r="B50" s="1">
        <v>44547</v>
      </c>
      <c r="C50" s="2">
        <v>37</v>
      </c>
      <c r="D50" s="2" t="s">
        <v>16</v>
      </c>
      <c r="E50" s="2" t="s">
        <v>17</v>
      </c>
      <c r="F50" s="2" t="s">
        <v>18</v>
      </c>
      <c r="G50" s="2" t="s">
        <v>34</v>
      </c>
      <c r="H50" s="2" t="s">
        <v>20</v>
      </c>
      <c r="I50" s="2" t="s">
        <v>21</v>
      </c>
      <c r="J50" s="2" t="s">
        <v>36</v>
      </c>
      <c r="K50" s="2">
        <v>2</v>
      </c>
      <c r="L50" s="3">
        <v>1266</v>
      </c>
      <c r="M50" s="3">
        <v>2320</v>
      </c>
      <c r="N50" s="3">
        <v>2108</v>
      </c>
      <c r="O50" s="3">
        <v>2532</v>
      </c>
      <c r="P50" s="3">
        <v>4640</v>
      </c>
      <c r="Q50" s="16">
        <f>Table1[[#This Row],[ Profit ]]/Table1[[#This Row],[Revenue]]</f>
        <v>0.4543103448275862</v>
      </c>
      <c r="R50" s="21">
        <v>0.4543103448275862</v>
      </c>
    </row>
    <row r="51" spans="1:18" x14ac:dyDescent="0.45">
      <c r="A51" s="5">
        <v>261747</v>
      </c>
      <c r="B51" s="4">
        <v>44547</v>
      </c>
      <c r="C51" s="5">
        <v>31</v>
      </c>
      <c r="D51" s="5" t="s">
        <v>23</v>
      </c>
      <c r="E51" s="5" t="s">
        <v>28</v>
      </c>
      <c r="F51" s="5" t="s">
        <v>29</v>
      </c>
      <c r="G51" s="5" t="s">
        <v>30</v>
      </c>
      <c r="H51" s="5" t="s">
        <v>20</v>
      </c>
      <c r="I51" s="5" t="s">
        <v>21</v>
      </c>
      <c r="J51" s="5" t="s">
        <v>31</v>
      </c>
      <c r="K51" s="5">
        <v>1</v>
      </c>
      <c r="L51" s="6">
        <v>420</v>
      </c>
      <c r="M51" s="6">
        <v>769</v>
      </c>
      <c r="N51" s="6">
        <v>349</v>
      </c>
      <c r="O51" s="6">
        <v>420</v>
      </c>
      <c r="P51" s="6">
        <v>769</v>
      </c>
      <c r="Q51" s="18">
        <f>Table1[[#This Row],[ Profit ]]/Table1[[#This Row],[Revenue]]</f>
        <v>0.45383615084525358</v>
      </c>
      <c r="R51" s="21">
        <v>0.45383615084525358</v>
      </c>
    </row>
    <row r="52" spans="1:18" x14ac:dyDescent="0.45">
      <c r="A52" s="2">
        <v>261748</v>
      </c>
      <c r="B52" s="1">
        <v>44547</v>
      </c>
      <c r="C52" s="2">
        <v>42</v>
      </c>
      <c r="D52" s="2" t="s">
        <v>16</v>
      </c>
      <c r="E52" s="2" t="s">
        <v>17</v>
      </c>
      <c r="F52" s="2" t="s">
        <v>43</v>
      </c>
      <c r="G52" s="2" t="s">
        <v>53</v>
      </c>
      <c r="H52" s="2" t="s">
        <v>20</v>
      </c>
      <c r="I52" s="2" t="s">
        <v>21</v>
      </c>
      <c r="J52" s="2" t="s">
        <v>52</v>
      </c>
      <c r="K52" s="2">
        <v>1</v>
      </c>
      <c r="L52" s="3">
        <v>1266</v>
      </c>
      <c r="M52" s="3">
        <v>2320</v>
      </c>
      <c r="N52" s="3">
        <v>1054</v>
      </c>
      <c r="O52" s="3">
        <v>1266</v>
      </c>
      <c r="P52" s="3">
        <v>2320</v>
      </c>
      <c r="Q52" s="16">
        <f>Table1[[#This Row],[ Profit ]]/Table1[[#This Row],[Revenue]]</f>
        <v>0.4543103448275862</v>
      </c>
      <c r="R52" s="21">
        <v>0.4543103448275862</v>
      </c>
    </row>
    <row r="53" spans="1:18" x14ac:dyDescent="0.45">
      <c r="A53" s="5">
        <v>261749</v>
      </c>
      <c r="B53" s="4">
        <v>44548</v>
      </c>
      <c r="C53" s="5">
        <v>35</v>
      </c>
      <c r="D53" s="5" t="s">
        <v>16</v>
      </c>
      <c r="E53" s="5" t="s">
        <v>17</v>
      </c>
      <c r="F53" s="5" t="s">
        <v>29</v>
      </c>
      <c r="G53" s="5" t="s">
        <v>30</v>
      </c>
      <c r="H53" s="5" t="s">
        <v>20</v>
      </c>
      <c r="I53" s="5" t="s">
        <v>21</v>
      </c>
      <c r="J53" s="5" t="s">
        <v>40</v>
      </c>
      <c r="K53" s="5">
        <v>4</v>
      </c>
      <c r="L53" s="6">
        <v>308</v>
      </c>
      <c r="M53" s="6">
        <v>565</v>
      </c>
      <c r="N53" s="6">
        <v>1028</v>
      </c>
      <c r="O53" s="6">
        <v>1232</v>
      </c>
      <c r="P53" s="6">
        <v>2260</v>
      </c>
      <c r="Q53" s="16">
        <f>Table1[[#This Row],[ Profit ]]/Table1[[#This Row],[Revenue]]</f>
        <v>0.45486725663716815</v>
      </c>
      <c r="R53" s="21">
        <v>0.45486725663716815</v>
      </c>
    </row>
    <row r="54" spans="1:18" x14ac:dyDescent="0.45">
      <c r="A54" s="2">
        <v>261750</v>
      </c>
      <c r="B54" s="1">
        <v>44548</v>
      </c>
      <c r="C54" s="2">
        <v>38</v>
      </c>
      <c r="D54" s="2" t="s">
        <v>16</v>
      </c>
      <c r="E54" s="2" t="s">
        <v>17</v>
      </c>
      <c r="F54" s="2" t="s">
        <v>43</v>
      </c>
      <c r="G54" s="2" t="s">
        <v>53</v>
      </c>
      <c r="H54" s="2" t="s">
        <v>20</v>
      </c>
      <c r="I54" s="2" t="s">
        <v>21</v>
      </c>
      <c r="J54" s="2" t="s">
        <v>52</v>
      </c>
      <c r="K54" s="2">
        <v>4</v>
      </c>
      <c r="L54" s="3">
        <v>1266</v>
      </c>
      <c r="M54" s="3">
        <v>2320</v>
      </c>
      <c r="N54" s="3">
        <v>4216</v>
      </c>
      <c r="O54" s="3">
        <v>5064</v>
      </c>
      <c r="P54" s="3">
        <v>9280</v>
      </c>
      <c r="Q54" s="16">
        <f>Table1[[#This Row],[ Profit ]]/Table1[[#This Row],[Revenue]]</f>
        <v>0.4543103448275862</v>
      </c>
      <c r="R54" s="21">
        <v>0.4543103448275862</v>
      </c>
    </row>
    <row r="55" spans="1:18" x14ac:dyDescent="0.45">
      <c r="A55" s="5">
        <v>261751</v>
      </c>
      <c r="B55" s="4">
        <v>44548</v>
      </c>
      <c r="C55" s="5">
        <v>24</v>
      </c>
      <c r="D55" s="5" t="s">
        <v>16</v>
      </c>
      <c r="E55" s="5" t="s">
        <v>32</v>
      </c>
      <c r="F55" s="5" t="s">
        <v>48</v>
      </c>
      <c r="G55" s="5" t="s">
        <v>54</v>
      </c>
      <c r="H55" s="5" t="s">
        <v>20</v>
      </c>
      <c r="I55" s="5" t="s">
        <v>21</v>
      </c>
      <c r="J55" s="5" t="s">
        <v>36</v>
      </c>
      <c r="K55" s="5">
        <v>3</v>
      </c>
      <c r="L55" s="6">
        <v>1266</v>
      </c>
      <c r="M55" s="6">
        <v>2320</v>
      </c>
      <c r="N55" s="6">
        <v>3162</v>
      </c>
      <c r="O55" s="6">
        <v>3798</v>
      </c>
      <c r="P55" s="6">
        <v>6960</v>
      </c>
      <c r="Q55" s="16">
        <f>Table1[[#This Row],[ Profit ]]/Table1[[#This Row],[Revenue]]</f>
        <v>0.4543103448275862</v>
      </c>
      <c r="R55" s="21">
        <v>0.4543103448275862</v>
      </c>
    </row>
    <row r="56" spans="1:18" x14ac:dyDescent="0.45">
      <c r="A56" s="2">
        <v>261752</v>
      </c>
      <c r="B56" s="1">
        <v>44548</v>
      </c>
      <c r="C56" s="2">
        <v>26</v>
      </c>
      <c r="D56" s="2" t="s">
        <v>16</v>
      </c>
      <c r="E56" s="2" t="s">
        <v>28</v>
      </c>
      <c r="F56" s="2" t="s">
        <v>24</v>
      </c>
      <c r="G56" s="2" t="s">
        <v>25</v>
      </c>
      <c r="H56" s="2" t="s">
        <v>20</v>
      </c>
      <c r="I56" s="2" t="s">
        <v>21</v>
      </c>
      <c r="J56" s="2" t="s">
        <v>31</v>
      </c>
      <c r="K56" s="2">
        <v>3</v>
      </c>
      <c r="L56" s="3">
        <v>420</v>
      </c>
      <c r="M56" s="3">
        <v>769</v>
      </c>
      <c r="N56" s="3">
        <v>1047</v>
      </c>
      <c r="O56" s="3">
        <v>1260</v>
      </c>
      <c r="P56" s="3">
        <v>2307</v>
      </c>
      <c r="Q56" s="16">
        <f>Table1[[#This Row],[ Profit ]]/Table1[[#This Row],[Revenue]]</f>
        <v>0.45383615084525358</v>
      </c>
      <c r="R56" s="21">
        <v>0.45383615084525358</v>
      </c>
    </row>
    <row r="57" spans="1:18" x14ac:dyDescent="0.45">
      <c r="A57" s="5">
        <v>261753</v>
      </c>
      <c r="B57" s="4">
        <v>44548</v>
      </c>
      <c r="C57" s="5">
        <v>39</v>
      </c>
      <c r="D57" s="5" t="s">
        <v>23</v>
      </c>
      <c r="E57" s="5" t="s">
        <v>17</v>
      </c>
      <c r="F57" s="5" t="s">
        <v>18</v>
      </c>
      <c r="G57" s="5" t="s">
        <v>19</v>
      </c>
      <c r="H57" s="5" t="s">
        <v>20</v>
      </c>
      <c r="I57" s="5" t="s">
        <v>21</v>
      </c>
      <c r="J57" s="5" t="s">
        <v>45</v>
      </c>
      <c r="K57" s="5">
        <v>3</v>
      </c>
      <c r="L57" s="6">
        <v>1252</v>
      </c>
      <c r="M57" s="6">
        <v>2295</v>
      </c>
      <c r="N57" s="6">
        <v>3129</v>
      </c>
      <c r="O57" s="6">
        <v>3756</v>
      </c>
      <c r="P57" s="6">
        <v>6885</v>
      </c>
      <c r="Q57" s="18">
        <f>Table1[[#This Row],[ Profit ]]/Table1[[#This Row],[Revenue]]</f>
        <v>0.45446623093681915</v>
      </c>
      <c r="R57" s="21">
        <v>0.45446623093681915</v>
      </c>
    </row>
    <row r="58" spans="1:18" x14ac:dyDescent="0.45">
      <c r="A58" s="2">
        <v>261754</v>
      </c>
      <c r="B58" s="1">
        <v>44548</v>
      </c>
      <c r="C58" s="2">
        <v>26</v>
      </c>
      <c r="D58" s="2" t="s">
        <v>23</v>
      </c>
      <c r="E58" s="2" t="s">
        <v>28</v>
      </c>
      <c r="F58" s="2" t="s">
        <v>48</v>
      </c>
      <c r="G58" s="2" t="s">
        <v>49</v>
      </c>
      <c r="H58" s="2" t="s">
        <v>20</v>
      </c>
      <c r="I58" s="2" t="s">
        <v>21</v>
      </c>
      <c r="J58" s="2" t="s">
        <v>22</v>
      </c>
      <c r="K58" s="2">
        <v>1</v>
      </c>
      <c r="L58" s="3">
        <v>1252</v>
      </c>
      <c r="M58" s="3">
        <v>2295</v>
      </c>
      <c r="N58" s="3">
        <v>1043</v>
      </c>
      <c r="O58" s="3">
        <v>1252</v>
      </c>
      <c r="P58" s="3">
        <v>2295</v>
      </c>
      <c r="Q58" s="18">
        <f>Table1[[#This Row],[ Profit ]]/Table1[[#This Row],[Revenue]]</f>
        <v>0.45446623093681915</v>
      </c>
      <c r="R58" s="21">
        <v>0.45446623093681915</v>
      </c>
    </row>
    <row r="59" spans="1:18" x14ac:dyDescent="0.45">
      <c r="A59" s="5">
        <v>261755</v>
      </c>
      <c r="B59" s="4">
        <v>44548</v>
      </c>
      <c r="C59" s="5">
        <v>36</v>
      </c>
      <c r="D59" s="5" t="s">
        <v>23</v>
      </c>
      <c r="E59" s="5" t="s">
        <v>17</v>
      </c>
      <c r="F59" s="5" t="s">
        <v>18</v>
      </c>
      <c r="G59" s="5" t="s">
        <v>34</v>
      </c>
      <c r="H59" s="5" t="s">
        <v>20</v>
      </c>
      <c r="I59" s="5" t="s">
        <v>21</v>
      </c>
      <c r="J59" s="5" t="s">
        <v>36</v>
      </c>
      <c r="K59" s="5">
        <v>1</v>
      </c>
      <c r="L59" s="6">
        <v>1266</v>
      </c>
      <c r="M59" s="6">
        <v>2320</v>
      </c>
      <c r="N59" s="6">
        <v>1054</v>
      </c>
      <c r="O59" s="6">
        <v>1266</v>
      </c>
      <c r="P59" s="6">
        <v>2320</v>
      </c>
      <c r="Q59" s="18">
        <f>Table1[[#This Row],[ Profit ]]/Table1[[#This Row],[Revenue]]</f>
        <v>0.4543103448275862</v>
      </c>
      <c r="R59" s="21">
        <v>0.4543103448275862</v>
      </c>
    </row>
    <row r="60" spans="1:18" x14ac:dyDescent="0.45">
      <c r="A60" s="2">
        <v>261756</v>
      </c>
      <c r="B60" s="1">
        <v>44549</v>
      </c>
      <c r="C60" s="2">
        <v>17</v>
      </c>
      <c r="D60" s="2" t="s">
        <v>23</v>
      </c>
      <c r="E60" s="2" t="s">
        <v>32</v>
      </c>
      <c r="F60" s="2" t="s">
        <v>48</v>
      </c>
      <c r="G60" s="2" t="s">
        <v>55</v>
      </c>
      <c r="H60" s="2" t="s">
        <v>20</v>
      </c>
      <c r="I60" s="2" t="s">
        <v>21</v>
      </c>
      <c r="J60" s="2" t="s">
        <v>52</v>
      </c>
      <c r="K60" s="2">
        <v>4</v>
      </c>
      <c r="L60" s="3">
        <v>1266</v>
      </c>
      <c r="M60" s="3">
        <v>2320</v>
      </c>
      <c r="N60" s="3">
        <v>4216</v>
      </c>
      <c r="O60" s="3">
        <v>5064</v>
      </c>
      <c r="P60" s="3">
        <v>9280</v>
      </c>
      <c r="Q60" s="18">
        <f>Table1[[#This Row],[ Profit ]]/Table1[[#This Row],[Revenue]]</f>
        <v>0.4543103448275862</v>
      </c>
      <c r="R60" s="21">
        <v>0.4543103448275862</v>
      </c>
    </row>
    <row r="61" spans="1:18" x14ac:dyDescent="0.45">
      <c r="A61" s="5">
        <v>261757</v>
      </c>
      <c r="B61" s="4">
        <v>44549</v>
      </c>
      <c r="C61" s="5">
        <v>19</v>
      </c>
      <c r="D61" s="5" t="s">
        <v>16</v>
      </c>
      <c r="E61" s="5" t="s">
        <v>32</v>
      </c>
      <c r="F61" s="5" t="s">
        <v>29</v>
      </c>
      <c r="G61" s="5" t="s">
        <v>41</v>
      </c>
      <c r="H61" s="5" t="s">
        <v>20</v>
      </c>
      <c r="I61" s="5" t="s">
        <v>21</v>
      </c>
      <c r="J61" s="5" t="s">
        <v>56</v>
      </c>
      <c r="K61" s="5">
        <v>4</v>
      </c>
      <c r="L61" s="6">
        <v>295</v>
      </c>
      <c r="M61" s="6">
        <v>540</v>
      </c>
      <c r="N61" s="6">
        <v>980</v>
      </c>
      <c r="O61" s="6">
        <v>1180</v>
      </c>
      <c r="P61" s="6">
        <v>2160</v>
      </c>
      <c r="Q61" s="16">
        <f>Table1[[#This Row],[ Profit ]]/Table1[[#This Row],[Revenue]]</f>
        <v>0.45370370370370372</v>
      </c>
      <c r="R61" s="21">
        <v>0.45370370370370372</v>
      </c>
    </row>
    <row r="62" spans="1:18" x14ac:dyDescent="0.45">
      <c r="A62" s="2">
        <v>261758</v>
      </c>
      <c r="B62" s="1">
        <v>44549</v>
      </c>
      <c r="C62" s="2">
        <v>25</v>
      </c>
      <c r="D62" s="2" t="s">
        <v>23</v>
      </c>
      <c r="E62" s="2" t="s">
        <v>28</v>
      </c>
      <c r="F62" s="2" t="s">
        <v>48</v>
      </c>
      <c r="G62" s="2" t="s">
        <v>49</v>
      </c>
      <c r="H62" s="2" t="s">
        <v>20</v>
      </c>
      <c r="I62" s="2" t="s">
        <v>21</v>
      </c>
      <c r="J62" s="2" t="s">
        <v>33</v>
      </c>
      <c r="K62" s="2">
        <v>4</v>
      </c>
      <c r="L62" s="3">
        <v>1252</v>
      </c>
      <c r="M62" s="3">
        <v>2295</v>
      </c>
      <c r="N62" s="3">
        <v>4172</v>
      </c>
      <c r="O62" s="3">
        <v>5008</v>
      </c>
      <c r="P62" s="3">
        <v>9180</v>
      </c>
      <c r="Q62" s="18">
        <f>Table1[[#This Row],[ Profit ]]/Table1[[#This Row],[Revenue]]</f>
        <v>0.45446623093681915</v>
      </c>
      <c r="R62" s="21">
        <v>0.45446623093681915</v>
      </c>
    </row>
    <row r="63" spans="1:18" x14ac:dyDescent="0.45">
      <c r="A63" s="5">
        <v>261759</v>
      </c>
      <c r="B63" s="4">
        <v>44549</v>
      </c>
      <c r="C63" s="5">
        <v>35</v>
      </c>
      <c r="D63" s="5" t="s">
        <v>16</v>
      </c>
      <c r="E63" s="5" t="s">
        <v>17</v>
      </c>
      <c r="F63" s="5" t="s">
        <v>18</v>
      </c>
      <c r="G63" s="5" t="s">
        <v>57</v>
      </c>
      <c r="H63" s="5" t="s">
        <v>20</v>
      </c>
      <c r="I63" s="5" t="s">
        <v>21</v>
      </c>
      <c r="J63" s="5" t="s">
        <v>58</v>
      </c>
      <c r="K63" s="5">
        <v>4</v>
      </c>
      <c r="L63" s="6">
        <v>1898</v>
      </c>
      <c r="M63" s="6">
        <v>3375</v>
      </c>
      <c r="N63" s="6">
        <v>5908</v>
      </c>
      <c r="O63" s="6">
        <v>7592</v>
      </c>
      <c r="P63" s="6">
        <v>13500</v>
      </c>
      <c r="Q63" s="16">
        <f>Table1[[#This Row],[ Profit ]]/Table1[[#This Row],[Revenue]]</f>
        <v>0.43762962962962965</v>
      </c>
      <c r="R63" s="21">
        <v>0.43762962962962965</v>
      </c>
    </row>
    <row r="64" spans="1:18" x14ac:dyDescent="0.45">
      <c r="A64" s="2">
        <v>261760</v>
      </c>
      <c r="B64" s="1">
        <v>44549</v>
      </c>
      <c r="C64" s="2">
        <v>37</v>
      </c>
      <c r="D64" s="2" t="s">
        <v>23</v>
      </c>
      <c r="E64" s="2" t="s">
        <v>17</v>
      </c>
      <c r="F64" s="2" t="s">
        <v>18</v>
      </c>
      <c r="G64" s="2" t="s">
        <v>57</v>
      </c>
      <c r="H64" s="2" t="s">
        <v>20</v>
      </c>
      <c r="I64" s="2" t="s">
        <v>21</v>
      </c>
      <c r="J64" s="2" t="s">
        <v>33</v>
      </c>
      <c r="K64" s="2">
        <v>4</v>
      </c>
      <c r="L64" s="3">
        <v>1252</v>
      </c>
      <c r="M64" s="3">
        <v>2295</v>
      </c>
      <c r="N64" s="3">
        <v>4172</v>
      </c>
      <c r="O64" s="3">
        <v>5008</v>
      </c>
      <c r="P64" s="3">
        <v>9180</v>
      </c>
      <c r="Q64" s="18">
        <f>Table1[[#This Row],[ Profit ]]/Table1[[#This Row],[Revenue]]</f>
        <v>0.45446623093681915</v>
      </c>
      <c r="R64" s="21">
        <v>0.45446623093681915</v>
      </c>
    </row>
    <row r="65" spans="1:18" x14ac:dyDescent="0.45">
      <c r="A65" s="5">
        <v>261761</v>
      </c>
      <c r="B65" s="4">
        <v>44549</v>
      </c>
      <c r="C65" s="5">
        <v>39</v>
      </c>
      <c r="D65" s="5" t="s">
        <v>16</v>
      </c>
      <c r="E65" s="5" t="s">
        <v>17</v>
      </c>
      <c r="F65" s="5" t="s">
        <v>18</v>
      </c>
      <c r="G65" s="5" t="s">
        <v>19</v>
      </c>
      <c r="H65" s="5" t="s">
        <v>20</v>
      </c>
      <c r="I65" s="5" t="s">
        <v>21</v>
      </c>
      <c r="J65" s="5" t="s">
        <v>22</v>
      </c>
      <c r="K65" s="5">
        <v>4</v>
      </c>
      <c r="L65" s="6">
        <v>1252</v>
      </c>
      <c r="M65" s="6">
        <v>2295</v>
      </c>
      <c r="N65" s="6">
        <v>4172</v>
      </c>
      <c r="O65" s="6">
        <v>5008</v>
      </c>
      <c r="P65" s="6">
        <v>9180</v>
      </c>
      <c r="Q65" s="16">
        <f>Table1[[#This Row],[ Profit ]]/Table1[[#This Row],[Revenue]]</f>
        <v>0.45446623093681915</v>
      </c>
      <c r="R65" s="21">
        <v>0.45446623093681915</v>
      </c>
    </row>
    <row r="66" spans="1:18" x14ac:dyDescent="0.45">
      <c r="A66" s="2">
        <v>261762</v>
      </c>
      <c r="B66" s="1">
        <v>44549</v>
      </c>
      <c r="C66" s="2">
        <v>63</v>
      </c>
      <c r="D66" s="2" t="s">
        <v>16</v>
      </c>
      <c r="E66" s="2" t="s">
        <v>17</v>
      </c>
      <c r="F66" s="2" t="s">
        <v>29</v>
      </c>
      <c r="G66" s="2" t="s">
        <v>35</v>
      </c>
      <c r="H66" s="2" t="s">
        <v>20</v>
      </c>
      <c r="I66" s="2" t="s">
        <v>21</v>
      </c>
      <c r="J66" s="2" t="s">
        <v>22</v>
      </c>
      <c r="K66" s="2">
        <v>4</v>
      </c>
      <c r="L66" s="3">
        <v>1252</v>
      </c>
      <c r="M66" s="3">
        <v>2295</v>
      </c>
      <c r="N66" s="3">
        <v>4172</v>
      </c>
      <c r="O66" s="3">
        <v>5008</v>
      </c>
      <c r="P66" s="3">
        <v>9180</v>
      </c>
      <c r="Q66" s="16">
        <f>Table1[[#This Row],[ Profit ]]/Table1[[#This Row],[Revenue]]</f>
        <v>0.45446623093681915</v>
      </c>
      <c r="R66" s="21">
        <v>0.45446623093681915</v>
      </c>
    </row>
    <row r="67" spans="1:18" x14ac:dyDescent="0.45">
      <c r="A67" s="5">
        <v>261763</v>
      </c>
      <c r="B67" s="4">
        <v>44549</v>
      </c>
      <c r="C67" s="5">
        <v>18</v>
      </c>
      <c r="D67" s="5" t="s">
        <v>23</v>
      </c>
      <c r="E67" s="5" t="s">
        <v>32</v>
      </c>
      <c r="F67" s="5" t="s">
        <v>29</v>
      </c>
      <c r="G67" s="5" t="s">
        <v>59</v>
      </c>
      <c r="H67" s="5" t="s">
        <v>20</v>
      </c>
      <c r="I67" s="5" t="s">
        <v>21</v>
      </c>
      <c r="J67" s="5" t="s">
        <v>46</v>
      </c>
      <c r="K67" s="5">
        <v>2</v>
      </c>
      <c r="L67" s="6">
        <v>295</v>
      </c>
      <c r="M67" s="6">
        <v>540</v>
      </c>
      <c r="N67" s="6">
        <v>490</v>
      </c>
      <c r="O67" s="6">
        <v>590</v>
      </c>
      <c r="P67" s="6">
        <v>1080</v>
      </c>
      <c r="Q67" s="18">
        <f>Table1[[#This Row],[ Profit ]]/Table1[[#This Row],[Revenue]]</f>
        <v>0.45370370370370372</v>
      </c>
      <c r="R67" s="21">
        <v>0.45370370370370372</v>
      </c>
    </row>
    <row r="68" spans="1:18" x14ac:dyDescent="0.45">
      <c r="A68" s="2">
        <v>261764</v>
      </c>
      <c r="B68" s="1">
        <v>44549</v>
      </c>
      <c r="C68" s="2">
        <v>56</v>
      </c>
      <c r="D68" s="2" t="s">
        <v>16</v>
      </c>
      <c r="E68" s="2" t="s">
        <v>17</v>
      </c>
      <c r="F68" s="2" t="s">
        <v>43</v>
      </c>
      <c r="G68" s="2" t="s">
        <v>60</v>
      </c>
      <c r="H68" s="2" t="s">
        <v>20</v>
      </c>
      <c r="I68" s="2" t="s">
        <v>21</v>
      </c>
      <c r="J68" s="2" t="s">
        <v>22</v>
      </c>
      <c r="K68" s="2">
        <v>2</v>
      </c>
      <c r="L68" s="3">
        <v>1252</v>
      </c>
      <c r="M68" s="3">
        <v>2295</v>
      </c>
      <c r="N68" s="3">
        <v>2086</v>
      </c>
      <c r="O68" s="3">
        <v>2504</v>
      </c>
      <c r="P68" s="3">
        <v>4590</v>
      </c>
      <c r="Q68" s="16">
        <f>Table1[[#This Row],[ Profit ]]/Table1[[#This Row],[Revenue]]</f>
        <v>0.45446623093681915</v>
      </c>
      <c r="R68" s="21">
        <v>0.45446623093681915</v>
      </c>
    </row>
    <row r="69" spans="1:18" x14ac:dyDescent="0.45">
      <c r="A69" s="5">
        <v>261765</v>
      </c>
      <c r="B69" s="4">
        <v>44549</v>
      </c>
      <c r="C69" s="5">
        <v>39</v>
      </c>
      <c r="D69" s="5" t="s">
        <v>16</v>
      </c>
      <c r="E69" s="5" t="s">
        <v>17</v>
      </c>
      <c r="F69" s="5" t="s">
        <v>18</v>
      </c>
      <c r="G69" s="5" t="s">
        <v>34</v>
      </c>
      <c r="H69" s="5" t="s">
        <v>20</v>
      </c>
      <c r="I69" s="5" t="s">
        <v>21</v>
      </c>
      <c r="J69" s="5" t="s">
        <v>36</v>
      </c>
      <c r="K69" s="5">
        <v>1</v>
      </c>
      <c r="L69" s="6">
        <v>1266</v>
      </c>
      <c r="M69" s="6">
        <v>2320</v>
      </c>
      <c r="N69" s="6">
        <v>1054</v>
      </c>
      <c r="O69" s="6">
        <v>1266</v>
      </c>
      <c r="P69" s="6">
        <v>2320</v>
      </c>
      <c r="Q69" s="16">
        <f>Table1[[#This Row],[ Profit ]]/Table1[[#This Row],[Revenue]]</f>
        <v>0.4543103448275862</v>
      </c>
      <c r="R69" s="21">
        <v>0.4543103448275862</v>
      </c>
    </row>
    <row r="70" spans="1:18" x14ac:dyDescent="0.45">
      <c r="A70" s="2">
        <v>261766</v>
      </c>
      <c r="B70" s="1">
        <v>44550</v>
      </c>
      <c r="C70" s="2">
        <v>33</v>
      </c>
      <c r="D70" s="2" t="s">
        <v>16</v>
      </c>
      <c r="E70" s="2" t="s">
        <v>28</v>
      </c>
      <c r="F70" s="2" t="s">
        <v>29</v>
      </c>
      <c r="G70" s="2" t="s">
        <v>41</v>
      </c>
      <c r="H70" s="2" t="s">
        <v>20</v>
      </c>
      <c r="I70" s="2" t="s">
        <v>21</v>
      </c>
      <c r="J70" s="2" t="s">
        <v>42</v>
      </c>
      <c r="K70" s="2">
        <v>4</v>
      </c>
      <c r="L70" s="3">
        <v>1898</v>
      </c>
      <c r="M70" s="3">
        <v>3375</v>
      </c>
      <c r="N70" s="3">
        <v>5908</v>
      </c>
      <c r="O70" s="3">
        <v>7592</v>
      </c>
      <c r="P70" s="3">
        <v>13500</v>
      </c>
      <c r="Q70" s="16">
        <f>Table1[[#This Row],[ Profit ]]/Table1[[#This Row],[Revenue]]</f>
        <v>0.43762962962962965</v>
      </c>
      <c r="R70" s="21">
        <v>0.43762962962962965</v>
      </c>
    </row>
    <row r="71" spans="1:18" x14ac:dyDescent="0.45">
      <c r="A71" s="5">
        <v>261767</v>
      </c>
      <c r="B71" s="4">
        <v>44550</v>
      </c>
      <c r="C71" s="5">
        <v>57</v>
      </c>
      <c r="D71" s="5" t="s">
        <v>23</v>
      </c>
      <c r="E71" s="5" t="s">
        <v>17</v>
      </c>
      <c r="F71" s="5" t="s">
        <v>29</v>
      </c>
      <c r="G71" s="5" t="s">
        <v>35</v>
      </c>
      <c r="H71" s="5" t="s">
        <v>20</v>
      </c>
      <c r="I71" s="5" t="s">
        <v>21</v>
      </c>
      <c r="J71" s="5" t="s">
        <v>22</v>
      </c>
      <c r="K71" s="5">
        <v>4</v>
      </c>
      <c r="L71" s="6">
        <v>1252</v>
      </c>
      <c r="M71" s="6">
        <v>2295</v>
      </c>
      <c r="N71" s="6">
        <v>4172</v>
      </c>
      <c r="O71" s="6">
        <v>5008</v>
      </c>
      <c r="P71" s="6">
        <v>9180</v>
      </c>
      <c r="Q71" s="18">
        <f>Table1[[#This Row],[ Profit ]]/Table1[[#This Row],[Revenue]]</f>
        <v>0.45446623093681915</v>
      </c>
      <c r="R71" s="21">
        <v>0.45446623093681915</v>
      </c>
    </row>
    <row r="72" spans="1:18" x14ac:dyDescent="0.45">
      <c r="A72" s="2">
        <v>261768</v>
      </c>
      <c r="B72" s="1">
        <v>44550</v>
      </c>
      <c r="C72" s="2">
        <v>29</v>
      </c>
      <c r="D72" s="2" t="s">
        <v>23</v>
      </c>
      <c r="E72" s="2" t="s">
        <v>28</v>
      </c>
      <c r="F72" s="2" t="s">
        <v>37</v>
      </c>
      <c r="G72" s="2" t="s">
        <v>38</v>
      </c>
      <c r="H72" s="2" t="s">
        <v>20</v>
      </c>
      <c r="I72" s="2" t="s">
        <v>21</v>
      </c>
      <c r="J72" s="2" t="s">
        <v>61</v>
      </c>
      <c r="K72" s="2">
        <v>3</v>
      </c>
      <c r="L72" s="3">
        <v>295</v>
      </c>
      <c r="M72" s="3">
        <v>540</v>
      </c>
      <c r="N72" s="3">
        <v>735</v>
      </c>
      <c r="O72" s="3">
        <v>885</v>
      </c>
      <c r="P72" s="3">
        <v>1620</v>
      </c>
      <c r="Q72" s="18">
        <f>Table1[[#This Row],[ Profit ]]/Table1[[#This Row],[Revenue]]</f>
        <v>0.45370370370370372</v>
      </c>
      <c r="R72" s="21">
        <v>0.45370370370370372</v>
      </c>
    </row>
    <row r="73" spans="1:18" x14ac:dyDescent="0.45">
      <c r="A73" s="5">
        <v>261769</v>
      </c>
      <c r="B73" s="4">
        <v>44550</v>
      </c>
      <c r="C73" s="5">
        <v>35</v>
      </c>
      <c r="D73" s="5" t="s">
        <v>16</v>
      </c>
      <c r="E73" s="5" t="s">
        <v>17</v>
      </c>
      <c r="F73" s="5" t="s">
        <v>29</v>
      </c>
      <c r="G73" s="5" t="s">
        <v>35</v>
      </c>
      <c r="H73" s="5" t="s">
        <v>20</v>
      </c>
      <c r="I73" s="5" t="s">
        <v>21</v>
      </c>
      <c r="J73" s="5" t="s">
        <v>36</v>
      </c>
      <c r="K73" s="5">
        <v>1</v>
      </c>
      <c r="L73" s="6">
        <v>1266</v>
      </c>
      <c r="M73" s="6">
        <v>2320</v>
      </c>
      <c r="N73" s="6">
        <v>1054</v>
      </c>
      <c r="O73" s="6">
        <v>1266</v>
      </c>
      <c r="P73" s="6">
        <v>2320</v>
      </c>
      <c r="Q73" s="16">
        <f>Table1[[#This Row],[ Profit ]]/Table1[[#This Row],[Revenue]]</f>
        <v>0.4543103448275862</v>
      </c>
      <c r="R73" s="21">
        <v>0.4543103448275862</v>
      </c>
    </row>
    <row r="74" spans="1:18" x14ac:dyDescent="0.45">
      <c r="A74" s="2">
        <v>261770</v>
      </c>
      <c r="B74" s="1">
        <v>44550</v>
      </c>
      <c r="C74" s="2">
        <v>35</v>
      </c>
      <c r="D74" s="2" t="s">
        <v>23</v>
      </c>
      <c r="E74" s="2" t="s">
        <v>17</v>
      </c>
      <c r="F74" s="2" t="s">
        <v>29</v>
      </c>
      <c r="G74" s="2" t="s">
        <v>41</v>
      </c>
      <c r="H74" s="2" t="s">
        <v>20</v>
      </c>
      <c r="I74" s="2" t="s">
        <v>21</v>
      </c>
      <c r="J74" s="2" t="s">
        <v>36</v>
      </c>
      <c r="K74" s="2">
        <v>1</v>
      </c>
      <c r="L74" s="3">
        <v>1266</v>
      </c>
      <c r="M74" s="3">
        <v>2320</v>
      </c>
      <c r="N74" s="3">
        <v>1054</v>
      </c>
      <c r="O74" s="3">
        <v>1266</v>
      </c>
      <c r="P74" s="3">
        <v>2320</v>
      </c>
      <c r="Q74" s="18">
        <f>Table1[[#This Row],[ Profit ]]/Table1[[#This Row],[Revenue]]</f>
        <v>0.4543103448275862</v>
      </c>
      <c r="R74" s="21">
        <v>0.4543103448275862</v>
      </c>
    </row>
    <row r="75" spans="1:18" x14ac:dyDescent="0.45">
      <c r="A75" s="5">
        <v>261771</v>
      </c>
      <c r="B75" s="4">
        <v>44551</v>
      </c>
      <c r="C75" s="5">
        <v>26</v>
      </c>
      <c r="D75" s="5" t="s">
        <v>23</v>
      </c>
      <c r="E75" s="5" t="s">
        <v>28</v>
      </c>
      <c r="F75" s="5" t="s">
        <v>48</v>
      </c>
      <c r="G75" s="5" t="s">
        <v>62</v>
      </c>
      <c r="H75" s="5" t="s">
        <v>20</v>
      </c>
      <c r="I75" s="5" t="s">
        <v>21</v>
      </c>
      <c r="J75" s="5" t="s">
        <v>36</v>
      </c>
      <c r="K75" s="5">
        <v>3</v>
      </c>
      <c r="L75" s="6">
        <v>1266</v>
      </c>
      <c r="M75" s="6">
        <v>2320</v>
      </c>
      <c r="N75" s="6">
        <v>3162</v>
      </c>
      <c r="O75" s="6">
        <v>3798</v>
      </c>
      <c r="P75" s="6">
        <v>6960</v>
      </c>
      <c r="Q75" s="18">
        <f>Table1[[#This Row],[ Profit ]]/Table1[[#This Row],[Revenue]]</f>
        <v>0.4543103448275862</v>
      </c>
      <c r="R75" s="21">
        <v>0.4543103448275862</v>
      </c>
    </row>
    <row r="76" spans="1:18" x14ac:dyDescent="0.45">
      <c r="A76" s="2">
        <v>261772</v>
      </c>
      <c r="B76" s="1">
        <v>44551</v>
      </c>
      <c r="C76" s="2">
        <v>23</v>
      </c>
      <c r="D76" s="2" t="s">
        <v>23</v>
      </c>
      <c r="E76" s="2" t="s">
        <v>32</v>
      </c>
      <c r="F76" s="2" t="s">
        <v>24</v>
      </c>
      <c r="G76" s="2" t="s">
        <v>25</v>
      </c>
      <c r="H76" s="2" t="s">
        <v>20</v>
      </c>
      <c r="I76" s="2" t="s">
        <v>21</v>
      </c>
      <c r="J76" s="2" t="s">
        <v>27</v>
      </c>
      <c r="K76" s="2">
        <v>2</v>
      </c>
      <c r="L76" s="3">
        <v>420</v>
      </c>
      <c r="M76" s="3">
        <v>769</v>
      </c>
      <c r="N76" s="3">
        <v>698</v>
      </c>
      <c r="O76" s="3">
        <v>840</v>
      </c>
      <c r="P76" s="3">
        <v>1538</v>
      </c>
      <c r="Q76" s="18">
        <f>Table1[[#This Row],[ Profit ]]/Table1[[#This Row],[Revenue]]</f>
        <v>0.45383615084525358</v>
      </c>
      <c r="R76" s="21">
        <v>0.45383615084525358</v>
      </c>
    </row>
    <row r="77" spans="1:18" x14ac:dyDescent="0.45">
      <c r="A77" s="5">
        <v>261773</v>
      </c>
      <c r="B77" s="4">
        <v>44552</v>
      </c>
      <c r="C77" s="5">
        <v>30</v>
      </c>
      <c r="D77" s="5" t="s">
        <v>16</v>
      </c>
      <c r="E77" s="5" t="s">
        <v>28</v>
      </c>
      <c r="F77" s="5" t="s">
        <v>18</v>
      </c>
      <c r="G77" s="5" t="s">
        <v>34</v>
      </c>
      <c r="H77" s="5" t="s">
        <v>20</v>
      </c>
      <c r="I77" s="5" t="s">
        <v>21</v>
      </c>
      <c r="J77" s="5" t="s">
        <v>36</v>
      </c>
      <c r="K77" s="5">
        <v>3</v>
      </c>
      <c r="L77" s="6">
        <v>1266</v>
      </c>
      <c r="M77" s="6">
        <v>2320</v>
      </c>
      <c r="N77" s="6">
        <v>3162</v>
      </c>
      <c r="O77" s="6">
        <v>3798</v>
      </c>
      <c r="P77" s="6">
        <v>6960</v>
      </c>
      <c r="Q77" s="16">
        <f>Table1[[#This Row],[ Profit ]]/Table1[[#This Row],[Revenue]]</f>
        <v>0.4543103448275862</v>
      </c>
      <c r="R77" s="21">
        <v>0.4543103448275862</v>
      </c>
    </row>
    <row r="78" spans="1:18" x14ac:dyDescent="0.45">
      <c r="A78" s="2">
        <v>261774</v>
      </c>
      <c r="B78" s="1">
        <v>44552</v>
      </c>
      <c r="C78" s="2">
        <v>41</v>
      </c>
      <c r="D78" s="2" t="s">
        <v>23</v>
      </c>
      <c r="E78" s="2" t="s">
        <v>17</v>
      </c>
      <c r="F78" s="2" t="s">
        <v>18</v>
      </c>
      <c r="G78" s="2" t="s">
        <v>19</v>
      </c>
      <c r="H78" s="2" t="s">
        <v>20</v>
      </c>
      <c r="I78" s="2" t="s">
        <v>21</v>
      </c>
      <c r="J78" s="2" t="s">
        <v>45</v>
      </c>
      <c r="K78" s="2">
        <v>3</v>
      </c>
      <c r="L78" s="3">
        <v>1252</v>
      </c>
      <c r="M78" s="3">
        <v>2295</v>
      </c>
      <c r="N78" s="3">
        <v>3129</v>
      </c>
      <c r="O78" s="3">
        <v>3756</v>
      </c>
      <c r="P78" s="3">
        <v>6885</v>
      </c>
      <c r="Q78" s="18">
        <f>Table1[[#This Row],[ Profit ]]/Table1[[#This Row],[Revenue]]</f>
        <v>0.45446623093681915</v>
      </c>
      <c r="R78" s="21">
        <v>0.45446623093681915</v>
      </c>
    </row>
    <row r="79" spans="1:18" x14ac:dyDescent="0.45">
      <c r="A79" s="5">
        <v>261775</v>
      </c>
      <c r="B79" s="4">
        <v>44552</v>
      </c>
      <c r="C79" s="5">
        <v>19</v>
      </c>
      <c r="D79" s="5" t="s">
        <v>16</v>
      </c>
      <c r="E79" s="5" t="s">
        <v>32</v>
      </c>
      <c r="F79" s="5" t="s">
        <v>29</v>
      </c>
      <c r="G79" s="5" t="s">
        <v>30</v>
      </c>
      <c r="H79" s="5" t="s">
        <v>20</v>
      </c>
      <c r="I79" s="5" t="s">
        <v>21</v>
      </c>
      <c r="J79" s="5" t="s">
        <v>40</v>
      </c>
      <c r="K79" s="5">
        <v>1</v>
      </c>
      <c r="L79" s="6">
        <v>308</v>
      </c>
      <c r="M79" s="6">
        <v>565</v>
      </c>
      <c r="N79" s="6">
        <v>257</v>
      </c>
      <c r="O79" s="6">
        <v>308</v>
      </c>
      <c r="P79" s="6">
        <v>565</v>
      </c>
      <c r="Q79" s="16">
        <f>Table1[[#This Row],[ Profit ]]/Table1[[#This Row],[Revenue]]</f>
        <v>0.45486725663716815</v>
      </c>
      <c r="R79" s="21">
        <v>0.45486725663716815</v>
      </c>
    </row>
    <row r="80" spans="1:18" x14ac:dyDescent="0.45">
      <c r="A80" s="2">
        <v>261776</v>
      </c>
      <c r="B80" s="1">
        <v>44552</v>
      </c>
      <c r="C80" s="2">
        <v>25</v>
      </c>
      <c r="D80" s="2" t="s">
        <v>23</v>
      </c>
      <c r="E80" s="2" t="s">
        <v>28</v>
      </c>
      <c r="F80" s="2" t="s">
        <v>48</v>
      </c>
      <c r="G80" s="2" t="s">
        <v>49</v>
      </c>
      <c r="H80" s="2" t="s">
        <v>20</v>
      </c>
      <c r="I80" s="2" t="s">
        <v>21</v>
      </c>
      <c r="J80" s="2" t="s">
        <v>33</v>
      </c>
      <c r="K80" s="2">
        <v>1</v>
      </c>
      <c r="L80" s="3">
        <v>1252</v>
      </c>
      <c r="M80" s="3">
        <v>2295</v>
      </c>
      <c r="N80" s="3">
        <v>1043</v>
      </c>
      <c r="O80" s="3">
        <v>1252</v>
      </c>
      <c r="P80" s="3">
        <v>2295</v>
      </c>
      <c r="Q80" s="18">
        <f>Table1[[#This Row],[ Profit ]]/Table1[[#This Row],[Revenue]]</f>
        <v>0.45446623093681915</v>
      </c>
      <c r="R80" s="21">
        <v>0.45446623093681915</v>
      </c>
    </row>
    <row r="81" spans="1:18" x14ac:dyDescent="0.45">
      <c r="A81" s="5">
        <v>261777</v>
      </c>
      <c r="B81" s="4">
        <v>44552</v>
      </c>
      <c r="C81" s="5">
        <v>27</v>
      </c>
      <c r="D81" s="5" t="s">
        <v>16</v>
      </c>
      <c r="E81" s="5" t="s">
        <v>28</v>
      </c>
      <c r="F81" s="5" t="s">
        <v>37</v>
      </c>
      <c r="G81" s="5" t="s">
        <v>38</v>
      </c>
      <c r="H81" s="5" t="s">
        <v>20</v>
      </c>
      <c r="I81" s="5" t="s">
        <v>21</v>
      </c>
      <c r="J81" s="5" t="s">
        <v>22</v>
      </c>
      <c r="K81" s="5">
        <v>1</v>
      </c>
      <c r="L81" s="6">
        <v>1252</v>
      </c>
      <c r="M81" s="6">
        <v>2295</v>
      </c>
      <c r="N81" s="6">
        <v>1043</v>
      </c>
      <c r="O81" s="6">
        <v>1252</v>
      </c>
      <c r="P81" s="6">
        <v>2295</v>
      </c>
      <c r="Q81" s="16">
        <f>Table1[[#This Row],[ Profit ]]/Table1[[#This Row],[Revenue]]</f>
        <v>0.45446623093681915</v>
      </c>
      <c r="R81" s="21">
        <v>0.45446623093681915</v>
      </c>
    </row>
    <row r="82" spans="1:18" x14ac:dyDescent="0.45">
      <c r="A82" s="2">
        <v>261778</v>
      </c>
      <c r="B82" s="1">
        <v>44552</v>
      </c>
      <c r="C82" s="2">
        <v>41</v>
      </c>
      <c r="D82" s="2" t="s">
        <v>23</v>
      </c>
      <c r="E82" s="2" t="s">
        <v>17</v>
      </c>
      <c r="F82" s="2" t="s">
        <v>43</v>
      </c>
      <c r="G82" s="2" t="s">
        <v>60</v>
      </c>
      <c r="H82" s="2" t="s">
        <v>20</v>
      </c>
      <c r="I82" s="2" t="s">
        <v>21</v>
      </c>
      <c r="J82" s="2" t="s">
        <v>36</v>
      </c>
      <c r="K82" s="2">
        <v>1</v>
      </c>
      <c r="L82" s="3">
        <v>1266</v>
      </c>
      <c r="M82" s="3">
        <v>2320</v>
      </c>
      <c r="N82" s="3">
        <v>1054</v>
      </c>
      <c r="O82" s="3">
        <v>1266</v>
      </c>
      <c r="P82" s="3">
        <v>2320</v>
      </c>
      <c r="Q82" s="18">
        <f>Table1[[#This Row],[ Profit ]]/Table1[[#This Row],[Revenue]]</f>
        <v>0.4543103448275862</v>
      </c>
      <c r="R82" s="21">
        <v>0.4543103448275862</v>
      </c>
    </row>
    <row r="83" spans="1:18" x14ac:dyDescent="0.45">
      <c r="A83" s="5">
        <v>261779</v>
      </c>
      <c r="B83" s="4">
        <v>44553</v>
      </c>
      <c r="C83" s="5">
        <v>30</v>
      </c>
      <c r="D83" s="5" t="s">
        <v>16</v>
      </c>
      <c r="E83" s="5" t="s">
        <v>28</v>
      </c>
      <c r="F83" s="5" t="s">
        <v>18</v>
      </c>
      <c r="G83" s="5" t="s">
        <v>57</v>
      </c>
      <c r="H83" s="5" t="s">
        <v>20</v>
      </c>
      <c r="I83" s="5" t="s">
        <v>21</v>
      </c>
      <c r="J83" s="5" t="s">
        <v>26</v>
      </c>
      <c r="K83" s="5">
        <v>1</v>
      </c>
      <c r="L83" s="6">
        <v>1266</v>
      </c>
      <c r="M83" s="6">
        <v>2320</v>
      </c>
      <c r="N83" s="6">
        <v>1054</v>
      </c>
      <c r="O83" s="6">
        <v>1266</v>
      </c>
      <c r="P83" s="6">
        <v>2320</v>
      </c>
      <c r="Q83" s="16">
        <f>Table1[[#This Row],[ Profit ]]/Table1[[#This Row],[Revenue]]</f>
        <v>0.4543103448275862</v>
      </c>
      <c r="R83" s="21">
        <v>0.4543103448275862</v>
      </c>
    </row>
    <row r="84" spans="1:18" x14ac:dyDescent="0.45">
      <c r="A84" s="2">
        <v>261780</v>
      </c>
      <c r="B84" s="1">
        <v>44553</v>
      </c>
      <c r="C84" s="2">
        <v>31</v>
      </c>
      <c r="D84" s="2" t="s">
        <v>16</v>
      </c>
      <c r="E84" s="2" t="s">
        <v>28</v>
      </c>
      <c r="F84" s="2" t="s">
        <v>37</v>
      </c>
      <c r="G84" s="2" t="s">
        <v>38</v>
      </c>
      <c r="H84" s="2" t="s">
        <v>20</v>
      </c>
      <c r="I84" s="2" t="s">
        <v>21</v>
      </c>
      <c r="J84" s="2" t="s">
        <v>45</v>
      </c>
      <c r="K84" s="2">
        <v>1</v>
      </c>
      <c r="L84" s="3">
        <v>1252</v>
      </c>
      <c r="M84" s="3">
        <v>2295</v>
      </c>
      <c r="N84" s="3">
        <v>1043</v>
      </c>
      <c r="O84" s="3">
        <v>1252</v>
      </c>
      <c r="P84" s="3">
        <v>2295</v>
      </c>
      <c r="Q84" s="16">
        <f>Table1[[#This Row],[ Profit ]]/Table1[[#This Row],[Revenue]]</f>
        <v>0.45446623093681915</v>
      </c>
      <c r="R84" s="21">
        <v>0.45446623093681915</v>
      </c>
    </row>
    <row r="85" spans="1:18" x14ac:dyDescent="0.45">
      <c r="A85" s="5">
        <v>261781</v>
      </c>
      <c r="B85" s="4">
        <v>44553</v>
      </c>
      <c r="C85" s="5">
        <v>35</v>
      </c>
      <c r="D85" s="5" t="s">
        <v>16</v>
      </c>
      <c r="E85" s="5" t="s">
        <v>17</v>
      </c>
      <c r="F85" s="5" t="s">
        <v>18</v>
      </c>
      <c r="G85" s="5" t="s">
        <v>19</v>
      </c>
      <c r="H85" s="5" t="s">
        <v>20</v>
      </c>
      <c r="I85" s="5" t="s">
        <v>21</v>
      </c>
      <c r="J85" s="5" t="s">
        <v>63</v>
      </c>
      <c r="K85" s="5">
        <v>1</v>
      </c>
      <c r="L85" s="6">
        <v>295</v>
      </c>
      <c r="M85" s="6">
        <v>540</v>
      </c>
      <c r="N85" s="6">
        <v>245</v>
      </c>
      <c r="O85" s="6">
        <v>295</v>
      </c>
      <c r="P85" s="6">
        <v>540</v>
      </c>
      <c r="Q85" s="16">
        <f>Table1[[#This Row],[ Profit ]]/Table1[[#This Row],[Revenue]]</f>
        <v>0.45370370370370372</v>
      </c>
      <c r="R85" s="21">
        <v>0.45370370370370372</v>
      </c>
    </row>
    <row r="86" spans="1:18" x14ac:dyDescent="0.45">
      <c r="A86" s="2">
        <v>261782</v>
      </c>
      <c r="B86" s="1">
        <v>44554</v>
      </c>
      <c r="C86" s="2">
        <v>38</v>
      </c>
      <c r="D86" s="2" t="s">
        <v>23</v>
      </c>
      <c r="E86" s="2" t="s">
        <v>17</v>
      </c>
      <c r="F86" s="2" t="s">
        <v>29</v>
      </c>
      <c r="G86" s="2" t="s">
        <v>35</v>
      </c>
      <c r="H86" s="2" t="s">
        <v>20</v>
      </c>
      <c r="I86" s="2" t="s">
        <v>21</v>
      </c>
      <c r="J86" s="2" t="s">
        <v>45</v>
      </c>
      <c r="K86" s="2">
        <v>4</v>
      </c>
      <c r="L86" s="3">
        <v>1252</v>
      </c>
      <c r="M86" s="3">
        <v>2295</v>
      </c>
      <c r="N86" s="3">
        <v>4172</v>
      </c>
      <c r="O86" s="3">
        <v>5008</v>
      </c>
      <c r="P86" s="3">
        <v>9180</v>
      </c>
      <c r="Q86" s="18">
        <f>Table1[[#This Row],[ Profit ]]/Table1[[#This Row],[Revenue]]</f>
        <v>0.45446623093681915</v>
      </c>
      <c r="R86" s="21">
        <v>0.45446623093681915</v>
      </c>
    </row>
    <row r="87" spans="1:18" x14ac:dyDescent="0.45">
      <c r="A87" s="2"/>
      <c r="B87" s="1"/>
      <c r="C87" s="2"/>
      <c r="D87" s="2"/>
      <c r="E87" s="2"/>
      <c r="F87" s="2"/>
      <c r="G87" s="2"/>
      <c r="H87" s="2"/>
      <c r="I87" s="2"/>
      <c r="J87" s="2"/>
      <c r="K87" s="2">
        <f>SUBTOTAL(109,K2:K86)</f>
        <v>180</v>
      </c>
      <c r="L87" s="3"/>
      <c r="M87" s="3"/>
      <c r="N87" s="3"/>
      <c r="O87" s="3"/>
      <c r="P87" s="3"/>
      <c r="Q87" s="18" t="e">
        <f>Table1[[#This Row],[ Profit ]]/Table1[[#This Row],[Revenue]]</f>
        <v>#DIV/0!</v>
      </c>
      <c r="R87" s="21" t="e">
        <v>#DIV/0!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BCE72-9C1A-4CF7-926B-5469E81B9F5C}">
  <dimension ref="A4:B14"/>
  <sheetViews>
    <sheetView workbookViewId="0">
      <selection activeCell="H17" sqref="H17"/>
    </sheetView>
  </sheetViews>
  <sheetFormatPr defaultRowHeight="14.25" x14ac:dyDescent="0.45"/>
  <sheetData>
    <row r="4" spans="1:2" x14ac:dyDescent="0.45">
      <c r="A4">
        <v>1</v>
      </c>
      <c r="B4" t="s">
        <v>80</v>
      </c>
    </row>
    <row r="5" spans="1:2" x14ac:dyDescent="0.45">
      <c r="A5">
        <v>2</v>
      </c>
      <c r="B5" t="s">
        <v>71</v>
      </c>
    </row>
    <row r="6" spans="1:2" x14ac:dyDescent="0.45">
      <c r="A6">
        <v>3</v>
      </c>
      <c r="B6" t="s">
        <v>72</v>
      </c>
    </row>
    <row r="7" spans="1:2" x14ac:dyDescent="0.45">
      <c r="A7">
        <v>4</v>
      </c>
      <c r="B7" t="s">
        <v>73</v>
      </c>
    </row>
    <row r="8" spans="1:2" x14ac:dyDescent="0.45">
      <c r="A8">
        <v>5</v>
      </c>
      <c r="B8" t="s">
        <v>74</v>
      </c>
    </row>
    <row r="9" spans="1:2" x14ac:dyDescent="0.45">
      <c r="A9">
        <v>6</v>
      </c>
      <c r="B9" t="s">
        <v>75</v>
      </c>
    </row>
    <row r="10" spans="1:2" x14ac:dyDescent="0.45">
      <c r="A10">
        <v>7</v>
      </c>
      <c r="B10" t="s">
        <v>76</v>
      </c>
    </row>
    <row r="11" spans="1:2" x14ac:dyDescent="0.45">
      <c r="A11">
        <v>8</v>
      </c>
      <c r="B11" t="s">
        <v>77</v>
      </c>
    </row>
    <row r="12" spans="1:2" x14ac:dyDescent="0.45">
      <c r="A12">
        <v>9</v>
      </c>
      <c r="B12" t="s">
        <v>78</v>
      </c>
    </row>
    <row r="13" spans="1:2" x14ac:dyDescent="0.45">
      <c r="A13">
        <v>10</v>
      </c>
      <c r="B13" t="s">
        <v>79</v>
      </c>
    </row>
    <row r="14" spans="1:2" x14ac:dyDescent="0.45">
      <c r="A14">
        <v>11</v>
      </c>
      <c r="B14"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0E05E-415B-4B46-B477-86F52C9EA592}">
  <dimension ref="A3:U14"/>
  <sheetViews>
    <sheetView topLeftCell="O1" workbookViewId="0">
      <selection activeCell="W21" sqref="W21"/>
    </sheetView>
  </sheetViews>
  <sheetFormatPr defaultRowHeight="14.25" x14ac:dyDescent="0.45"/>
  <cols>
    <col min="1" max="1" width="12.33203125" bestFit="1" customWidth="1"/>
    <col min="3" max="3" width="14.6640625" bestFit="1" customWidth="1"/>
    <col min="4" max="4" width="18.265625" bestFit="1" customWidth="1"/>
    <col min="5" max="5" width="22.1328125" bestFit="1" customWidth="1"/>
    <col min="6" max="6" width="13.53125" bestFit="1" customWidth="1"/>
    <col min="7" max="7" width="28.9296875" bestFit="1" customWidth="1"/>
    <col min="9" max="9" width="12.06640625" bestFit="1" customWidth="1"/>
    <col min="10" max="10" width="12.3984375" bestFit="1" customWidth="1"/>
    <col min="11" max="11" width="12.33203125" bestFit="1" customWidth="1"/>
    <col min="12" max="12" width="17" bestFit="1" customWidth="1"/>
    <col min="13" max="13" width="14.1328125" bestFit="1" customWidth="1"/>
    <col min="15" max="15" width="14.6640625" bestFit="1" customWidth="1"/>
    <col min="16" max="16" width="12.33203125" bestFit="1" customWidth="1"/>
    <col min="20" max="20" width="13.53125" bestFit="1" customWidth="1"/>
    <col min="21" max="21" width="19.53125" bestFit="1" customWidth="1"/>
  </cols>
  <sheetData>
    <row r="3" spans="1:21" x14ac:dyDescent="0.45">
      <c r="A3" t="s">
        <v>82</v>
      </c>
      <c r="C3" t="s">
        <v>92</v>
      </c>
      <c r="E3" t="s">
        <v>93</v>
      </c>
      <c r="G3" t="s">
        <v>94</v>
      </c>
      <c r="I3" t="s">
        <v>95</v>
      </c>
      <c r="K3" t="s">
        <v>68</v>
      </c>
      <c r="O3" s="11" t="s">
        <v>64</v>
      </c>
      <c r="P3" t="s">
        <v>68</v>
      </c>
      <c r="T3" s="11" t="s">
        <v>64</v>
      </c>
      <c r="U3" t="s">
        <v>70</v>
      </c>
    </row>
    <row r="4" spans="1:21" x14ac:dyDescent="0.45">
      <c r="A4" s="10">
        <v>157005</v>
      </c>
      <c r="C4" s="10">
        <v>180</v>
      </c>
      <c r="E4" s="14">
        <v>34.023529411764706</v>
      </c>
      <c r="G4" s="10">
        <v>85</v>
      </c>
      <c r="I4" s="15">
        <v>343846</v>
      </c>
      <c r="K4" s="10">
        <v>157005</v>
      </c>
      <c r="O4" s="12" t="s">
        <v>19</v>
      </c>
      <c r="P4" s="10">
        <v>33834</v>
      </c>
      <c r="T4" s="12" t="s">
        <v>29</v>
      </c>
      <c r="U4" s="10">
        <v>26</v>
      </c>
    </row>
    <row r="5" spans="1:21" x14ac:dyDescent="0.45">
      <c r="O5" s="12" t="s">
        <v>30</v>
      </c>
      <c r="P5" s="10">
        <v>18708</v>
      </c>
      <c r="T5" s="12" t="s">
        <v>37</v>
      </c>
      <c r="U5" s="10">
        <v>6</v>
      </c>
    </row>
    <row r="6" spans="1:21" x14ac:dyDescent="0.45">
      <c r="C6" s="11" t="s">
        <v>64</v>
      </c>
      <c r="D6" t="s">
        <v>98</v>
      </c>
      <c r="O6" s="12" t="s">
        <v>35</v>
      </c>
      <c r="P6" s="10">
        <v>17786</v>
      </c>
      <c r="T6" s="12" t="s">
        <v>48</v>
      </c>
      <c r="U6" s="10">
        <v>8</v>
      </c>
    </row>
    <row r="7" spans="1:21" x14ac:dyDescent="0.45">
      <c r="C7" s="12" t="s">
        <v>19</v>
      </c>
      <c r="D7" s="10">
        <v>4972839</v>
      </c>
      <c r="F7" s="11" t="s">
        <v>64</v>
      </c>
      <c r="G7" t="s">
        <v>99</v>
      </c>
      <c r="I7" s="11" t="s">
        <v>64</v>
      </c>
      <c r="J7" t="s">
        <v>95</v>
      </c>
      <c r="L7" s="11" t="s">
        <v>64</v>
      </c>
      <c r="M7" t="s">
        <v>67</v>
      </c>
      <c r="O7" s="12" t="s">
        <v>41</v>
      </c>
      <c r="P7" s="10">
        <v>12299</v>
      </c>
      <c r="T7" s="12" t="s">
        <v>43</v>
      </c>
      <c r="U7" s="10">
        <v>5</v>
      </c>
    </row>
    <row r="8" spans="1:21" x14ac:dyDescent="0.45">
      <c r="C8" s="12" t="s">
        <v>30</v>
      </c>
      <c r="D8" s="10">
        <v>3402503</v>
      </c>
      <c r="F8" s="12" t="s">
        <v>18</v>
      </c>
      <c r="G8" s="23">
        <v>8113774</v>
      </c>
      <c r="I8" s="12" t="s">
        <v>16</v>
      </c>
      <c r="J8" s="15">
        <v>207843</v>
      </c>
      <c r="L8" s="12" t="s">
        <v>17</v>
      </c>
      <c r="M8" s="10">
        <v>205066</v>
      </c>
      <c r="O8" s="12" t="s">
        <v>34</v>
      </c>
      <c r="P8" s="10">
        <v>14114</v>
      </c>
      <c r="T8" s="12" t="s">
        <v>24</v>
      </c>
      <c r="U8" s="10">
        <v>9</v>
      </c>
    </row>
    <row r="9" spans="1:21" x14ac:dyDescent="0.45">
      <c r="C9" s="12" t="s">
        <v>34</v>
      </c>
      <c r="D9" s="10">
        <v>2355637</v>
      </c>
      <c r="F9" s="12" t="s">
        <v>29</v>
      </c>
      <c r="G9" s="23">
        <v>6805270</v>
      </c>
      <c r="I9" s="12" t="s">
        <v>23</v>
      </c>
      <c r="J9" s="15">
        <v>136003</v>
      </c>
      <c r="L9" s="12" t="s">
        <v>28</v>
      </c>
      <c r="M9" s="10">
        <v>103450</v>
      </c>
      <c r="O9" s="12" t="s">
        <v>65</v>
      </c>
      <c r="P9" s="10">
        <v>96741</v>
      </c>
      <c r="T9" s="12" t="s">
        <v>18</v>
      </c>
      <c r="U9" s="10">
        <v>31</v>
      </c>
    </row>
    <row r="10" spans="1:21" x14ac:dyDescent="0.45">
      <c r="C10" s="12" t="s">
        <v>25</v>
      </c>
      <c r="D10" s="10">
        <v>2355532</v>
      </c>
      <c r="F10" s="12" t="s">
        <v>24</v>
      </c>
      <c r="G10" s="23">
        <v>2355532</v>
      </c>
      <c r="I10" s="12" t="s">
        <v>65</v>
      </c>
      <c r="J10" s="15">
        <v>343846</v>
      </c>
      <c r="L10" s="12" t="s">
        <v>32</v>
      </c>
      <c r="M10" s="10">
        <v>35330</v>
      </c>
      <c r="T10" s="12" t="s">
        <v>65</v>
      </c>
      <c r="U10" s="10">
        <v>85</v>
      </c>
    </row>
    <row r="11" spans="1:21" x14ac:dyDescent="0.45">
      <c r="C11" s="12" t="s">
        <v>35</v>
      </c>
      <c r="D11" s="10">
        <v>1570520</v>
      </c>
      <c r="F11" s="12" t="s">
        <v>48</v>
      </c>
      <c r="G11" s="23">
        <v>2094036</v>
      </c>
      <c r="L11" s="12" t="s">
        <v>65</v>
      </c>
      <c r="M11" s="10">
        <v>343846</v>
      </c>
    </row>
    <row r="12" spans="1:21" x14ac:dyDescent="0.45">
      <c r="C12" s="12" t="s">
        <v>65</v>
      </c>
      <c r="D12" s="10">
        <v>14657031</v>
      </c>
      <c r="F12" s="12" t="s">
        <v>37</v>
      </c>
      <c r="G12" s="23">
        <v>1570474</v>
      </c>
    </row>
    <row r="13" spans="1:21" x14ac:dyDescent="0.45">
      <c r="F13" s="12" t="s">
        <v>43</v>
      </c>
      <c r="G13" s="23">
        <v>1308758</v>
      </c>
    </row>
    <row r="14" spans="1:21" x14ac:dyDescent="0.45">
      <c r="F14" s="12" t="s">
        <v>65</v>
      </c>
      <c r="G14" s="23">
        <v>22247844</v>
      </c>
    </row>
  </sheetData>
  <pageMargins left="0.7" right="0.7" top="0.75" bottom="0.75" header="0.3" footer="0.3"/>
  <pageSetup orientation="portrait" r:id="rId13"/>
  <drawing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704A-297B-47A2-A13D-3D5FFAD397EB}">
  <dimension ref="A1"/>
  <sheetViews>
    <sheetView showGridLines="0" zoomScale="55" zoomScaleNormal="100" workbookViewId="0">
      <selection activeCell="E45" sqref="E45"/>
    </sheetView>
  </sheetViews>
  <sheetFormatPr defaultRowHeight="14.25" x14ac:dyDescent="0.45"/>
  <cols>
    <col min="1" max="1" width="9.06640625" style="24"/>
  </cols>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1A1F-1BF6-473B-B2A3-28D0CBD97B0A}">
  <dimension ref="B3:B12"/>
  <sheetViews>
    <sheetView workbookViewId="0">
      <selection activeCell="H17" sqref="H17"/>
    </sheetView>
  </sheetViews>
  <sheetFormatPr defaultRowHeight="14.25" x14ac:dyDescent="0.45"/>
  <cols>
    <col min="1" max="1" width="4.9296875" customWidth="1"/>
  </cols>
  <sheetData>
    <row r="3" spans="2:2" x14ac:dyDescent="0.45">
      <c r="B3" t="s">
        <v>82</v>
      </c>
    </row>
    <row r="4" spans="2:2" x14ac:dyDescent="0.45">
      <c r="B4" t="s">
        <v>83</v>
      </c>
    </row>
    <row r="5" spans="2:2" x14ac:dyDescent="0.45">
      <c r="B5" t="s">
        <v>84</v>
      </c>
    </row>
    <row r="6" spans="2:2" x14ac:dyDescent="0.45">
      <c r="B6" t="s">
        <v>85</v>
      </c>
    </row>
    <row r="7" spans="2:2" x14ac:dyDescent="0.45">
      <c r="B7" t="s">
        <v>86</v>
      </c>
    </row>
    <row r="8" spans="2:2" x14ac:dyDescent="0.45">
      <c r="B8" t="s">
        <v>87</v>
      </c>
    </row>
    <row r="9" spans="2:2" x14ac:dyDescent="0.45">
      <c r="B9" t="s">
        <v>88</v>
      </c>
    </row>
    <row r="10" spans="2:2" x14ac:dyDescent="0.45">
      <c r="B10" t="s">
        <v>89</v>
      </c>
    </row>
    <row r="11" spans="2:2" x14ac:dyDescent="0.45">
      <c r="B11" t="s">
        <v>90</v>
      </c>
    </row>
    <row r="12" spans="2:2" x14ac:dyDescent="0.45">
      <c r="B12"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Tables</vt:lpstr>
      <vt:lpstr>Charts</vt:lpstr>
      <vt:lpstr>Sheet1</vt:lpstr>
      <vt:lpstr>Objectives</vt:lpstr>
      <vt:lpstr>Pivot Table and charts</vt:lpstr>
      <vt:lpstr>Dashboard</vt:lpstr>
      <vt:lpstr>Obj 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Toyin Fowowe</dc:creator>
  <cp:lastModifiedBy>hp</cp:lastModifiedBy>
  <dcterms:created xsi:type="dcterms:W3CDTF">2026-05-01T05:30:19Z</dcterms:created>
  <dcterms:modified xsi:type="dcterms:W3CDTF">2026-05-26T19:38:26Z</dcterms:modified>
</cp:coreProperties>
</file>